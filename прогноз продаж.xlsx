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6 сем/Лабы мап/3 лаба/"/>
    </mc:Choice>
  </mc:AlternateContent>
  <xr:revisionPtr revIDLastSave="0" documentId="13_ncr:1_{7E54E94A-8029-394B-90F5-13E9A6700B30}" xr6:coauthVersionLast="47" xr6:coauthVersionMax="47" xr10:uidLastSave="{00000000-0000-0000-0000-000000000000}"/>
  <bookViews>
    <workbookView xWindow="0" yWindow="660" windowWidth="30240" windowHeight="18020" firstSheet="1" activeTab="10" xr2:uid="{27BC53A9-315E-4F85-8DB6-B94D172CC5AD}"/>
  </bookViews>
  <sheets>
    <sheet name="График 1" sheetId="7" r:id="rId1"/>
    <sheet name="Лист2" sheetId="8" r:id="rId2"/>
    <sheet name="Лист3" sheetId="9" r:id="rId3"/>
    <sheet name="Лист4" sheetId="10" r:id="rId4"/>
    <sheet name="факт" sheetId="12" r:id="rId5"/>
    <sheet name="Лист10" sheetId="16" r:id="rId6"/>
    <sheet name="Данные" sheetId="4" r:id="rId7"/>
    <sheet name="Лист5" sheetId="18" r:id="rId8"/>
    <sheet name="Лист1" sheetId="17" r:id="rId9"/>
    <sheet name="Сводная " sheetId="11" r:id="rId10"/>
    <sheet name="Ручной прогноз" sheetId="13" r:id="rId11"/>
    <sheet name="Ошибка" sheetId="14" r:id="rId12"/>
  </sheets>
  <definedNames>
    <definedName name="Срез_Shoe_model">#N/A</definedName>
    <definedName name="ExternalData_1" localSheetId="6" hidden="1">Данные!$A$1:$K$448</definedName>
    <definedName name="solver_adj" localSheetId="10" hidden="1">'Ручной прогноз'!$M$1:$M$3</definedName>
    <definedName name="solver_cvg" localSheetId="10" hidden="1">0.0001</definedName>
    <definedName name="solver_drv" localSheetId="10" hidden="1">1</definedName>
    <definedName name="solver_eng" localSheetId="10" hidden="1">1</definedName>
    <definedName name="solver_itr" localSheetId="10" hidden="1">2147483647</definedName>
    <definedName name="solver_lhs1" localSheetId="10" hidden="1">'Ручной прогноз'!$M$1</definedName>
    <definedName name="solver_lhs2" localSheetId="10" hidden="1">'Ручной прогноз'!$M$1</definedName>
    <definedName name="solver_lhs3" localSheetId="10" hidden="1">'Ручной прогноз'!$M$2</definedName>
    <definedName name="solver_lhs4" localSheetId="10" hidden="1">'Ручной прогноз'!$M$2</definedName>
    <definedName name="solver_lhs5" localSheetId="10" hidden="1">'Ручной прогноз'!$M$3</definedName>
    <definedName name="solver_lhs6" localSheetId="10" hidden="1">'Ручной прогноз'!$M$3</definedName>
    <definedName name="solver_lin" localSheetId="10" hidden="1">2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6</definedName>
    <definedName name="solver_opt" localSheetId="10" hidden="1">'Ручной прогноз'!$M$6</definedName>
    <definedName name="solver_pre" localSheetId="10" hidden="1">0.000001</definedName>
    <definedName name="solver_rbv" localSheetId="10" hidden="1">1</definedName>
    <definedName name="solver_rel1" localSheetId="10" hidden="1">1</definedName>
    <definedName name="solver_rel2" localSheetId="10" hidden="1">3</definedName>
    <definedName name="solver_rel3" localSheetId="10" hidden="1">1</definedName>
    <definedName name="solver_rel4" localSheetId="10" hidden="1">3</definedName>
    <definedName name="solver_rel5" localSheetId="10" hidden="1">1</definedName>
    <definedName name="solver_rel6" localSheetId="10" hidden="1">3</definedName>
    <definedName name="solver_rhs1" localSheetId="10" hidden="1">1</definedName>
    <definedName name="solver_rhs2" localSheetId="10" hidden="1">0</definedName>
    <definedName name="solver_rhs3" localSheetId="10" hidden="1">1</definedName>
    <definedName name="solver_rhs4" localSheetId="10" hidden="1">0.1</definedName>
    <definedName name="solver_rhs5" localSheetId="10" hidden="1">1</definedName>
    <definedName name="solver_rhs6" localSheetId="10" hidden="1">0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2</definedName>
    <definedName name="solver_val" localSheetId="10" hidden="1">0</definedName>
    <definedName name="solver_ver" localSheetId="10" hidden="1">2</definedName>
  </definedNames>
  <calcPr calcId="191029"/>
  <pivotCaches>
    <pivotCache cacheId="1" r:id="rId13"/>
  </pivotCaches>
  <extLst>
    <ext xmlns:x14="http://schemas.microsoft.com/office/spreadsheetml/2009/9/main" uri="{BBE1A952-AA13-448e-AADC-164F8A28A991}">
      <x14:slicerCaches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3" l="1"/>
  <c r="F39" i="13"/>
  <c r="F40" i="13"/>
  <c r="F41" i="13"/>
  <c r="F42" i="13"/>
  <c r="F43" i="13"/>
  <c r="F44" i="13"/>
  <c r="F45" i="13"/>
  <c r="F46" i="13"/>
  <c r="F47" i="13"/>
  <c r="F48" i="13"/>
  <c r="F49" i="13"/>
  <c r="F38" i="13"/>
  <c r="E37" i="13"/>
  <c r="D39" i="13"/>
  <c r="D38" i="13"/>
  <c r="D37" i="13"/>
  <c r="M6" i="13"/>
  <c r="C15" i="14"/>
  <c r="D2" i="14"/>
  <c r="D15" i="14"/>
  <c r="B448" i="17" l="1"/>
  <c r="B447" i="17"/>
  <c r="B446" i="17"/>
  <c r="B445" i="17"/>
  <c r="B444" i="17"/>
  <c r="B443" i="17"/>
  <c r="B442" i="17"/>
  <c r="B441" i="17"/>
  <c r="B440" i="17"/>
  <c r="B439" i="17"/>
  <c r="B438" i="17"/>
  <c r="B437" i="17"/>
  <c r="B436" i="17"/>
  <c r="B435" i="17"/>
  <c r="B434" i="17"/>
  <c r="B433" i="17"/>
  <c r="B432" i="17"/>
  <c r="B431" i="17"/>
  <c r="B430" i="17"/>
  <c r="B429" i="17"/>
  <c r="B428" i="17"/>
  <c r="B427" i="17"/>
  <c r="B426" i="17"/>
  <c r="B425" i="17"/>
  <c r="B424" i="17"/>
  <c r="B423" i="17"/>
  <c r="B422" i="17"/>
  <c r="B421" i="17"/>
  <c r="B420" i="17"/>
  <c r="B419" i="17"/>
  <c r="B418" i="17"/>
  <c r="B417" i="17"/>
  <c r="B416" i="17"/>
  <c r="B415" i="17"/>
  <c r="B414" i="17"/>
  <c r="B413" i="17"/>
  <c r="B412" i="17"/>
  <c r="B411" i="17"/>
  <c r="B410" i="17"/>
  <c r="B409" i="17"/>
  <c r="B408" i="17"/>
  <c r="B407" i="17"/>
  <c r="B406" i="17"/>
  <c r="B405" i="17"/>
  <c r="B404" i="17"/>
  <c r="B403" i="17"/>
  <c r="B402" i="17"/>
  <c r="B401" i="17"/>
  <c r="B400" i="17"/>
  <c r="B399" i="17"/>
  <c r="B398" i="17"/>
  <c r="B397" i="17"/>
  <c r="B396" i="17"/>
  <c r="B395" i="17"/>
  <c r="B394" i="17"/>
  <c r="B393" i="17"/>
  <c r="B392" i="17"/>
  <c r="B391" i="17"/>
  <c r="B390" i="17"/>
  <c r="B389" i="17"/>
  <c r="B388" i="17"/>
  <c r="B387" i="17"/>
  <c r="B386" i="17"/>
  <c r="B385" i="17"/>
  <c r="B384" i="17"/>
  <c r="B383" i="17"/>
  <c r="B382" i="17"/>
  <c r="B381" i="17"/>
  <c r="B380" i="17"/>
  <c r="B379" i="17"/>
  <c r="B378" i="17"/>
  <c r="B377" i="17"/>
  <c r="B376" i="17"/>
  <c r="B375" i="17"/>
  <c r="B374" i="17"/>
  <c r="B373" i="17"/>
  <c r="B372" i="17"/>
  <c r="B371" i="17"/>
  <c r="B370" i="17"/>
  <c r="B369" i="17"/>
  <c r="B368" i="17"/>
  <c r="B367" i="17"/>
  <c r="B366" i="17"/>
  <c r="B365" i="17"/>
  <c r="B364" i="17"/>
  <c r="B363" i="17"/>
  <c r="B362" i="17"/>
  <c r="B361" i="17"/>
  <c r="B360" i="17"/>
  <c r="B359" i="17"/>
  <c r="B358" i="17"/>
  <c r="B357" i="17"/>
  <c r="B356" i="17"/>
  <c r="B355" i="17"/>
  <c r="B354" i="17"/>
  <c r="B353" i="17"/>
  <c r="B352" i="17"/>
  <c r="B351" i="17"/>
  <c r="B350" i="17"/>
  <c r="B349" i="17"/>
  <c r="B348" i="17"/>
  <c r="B347" i="17"/>
  <c r="B346" i="17"/>
  <c r="B345" i="17"/>
  <c r="B344" i="17"/>
  <c r="B343" i="17"/>
  <c r="B342" i="17"/>
  <c r="B341" i="17"/>
  <c r="B340" i="17"/>
  <c r="B339" i="17"/>
  <c r="B338" i="17"/>
  <c r="B337" i="17"/>
  <c r="B336" i="17"/>
  <c r="B335" i="17"/>
  <c r="B334" i="17"/>
  <c r="B333" i="17"/>
  <c r="B332" i="17"/>
  <c r="B331" i="17"/>
  <c r="B330" i="17"/>
  <c r="B329" i="17"/>
  <c r="B328" i="17"/>
  <c r="B327" i="17"/>
  <c r="B326" i="17"/>
  <c r="B325" i="17"/>
  <c r="B324" i="17"/>
  <c r="B323" i="17"/>
  <c r="B322" i="17"/>
  <c r="B321" i="17"/>
  <c r="B320" i="17"/>
  <c r="B319" i="17"/>
  <c r="B318" i="17"/>
  <c r="B317" i="17"/>
  <c r="B316" i="17"/>
  <c r="B315" i="17"/>
  <c r="B314" i="17"/>
  <c r="B313" i="17"/>
  <c r="B312" i="17"/>
  <c r="B311" i="17"/>
  <c r="B310" i="17"/>
  <c r="B309" i="17"/>
  <c r="B308" i="17"/>
  <c r="B307" i="17"/>
  <c r="B306" i="17"/>
  <c r="B305" i="17"/>
  <c r="B304" i="17"/>
  <c r="B303" i="17"/>
  <c r="B302" i="17"/>
  <c r="B301" i="17"/>
  <c r="B300" i="17"/>
  <c r="B299" i="17"/>
  <c r="B298" i="17"/>
  <c r="B297" i="17"/>
  <c r="B296" i="17"/>
  <c r="B295" i="17"/>
  <c r="B294" i="17"/>
  <c r="B293" i="17"/>
  <c r="B292" i="17"/>
  <c r="B291" i="17"/>
  <c r="B290" i="17"/>
  <c r="B289" i="17"/>
  <c r="B288" i="17"/>
  <c r="B287" i="17"/>
  <c r="B286" i="17"/>
  <c r="B285" i="17"/>
  <c r="B284" i="17"/>
  <c r="B283" i="17"/>
  <c r="B282" i="17"/>
  <c r="B281" i="17"/>
  <c r="B280" i="17"/>
  <c r="B279" i="17"/>
  <c r="B278" i="17"/>
  <c r="B277" i="17"/>
  <c r="B276" i="17"/>
  <c r="B275" i="17"/>
  <c r="B274" i="17"/>
  <c r="B273" i="17"/>
  <c r="B272" i="17"/>
  <c r="B271" i="17"/>
  <c r="B270" i="17"/>
  <c r="B269" i="17"/>
  <c r="B268" i="17"/>
  <c r="B267" i="17"/>
  <c r="B266" i="17"/>
  <c r="B265" i="17"/>
  <c r="B264" i="17"/>
  <c r="B263" i="17"/>
  <c r="B262" i="17"/>
  <c r="B261" i="17"/>
  <c r="B260" i="17"/>
  <c r="B259" i="17"/>
  <c r="B258" i="17"/>
  <c r="B257" i="17"/>
  <c r="B256" i="17"/>
  <c r="B255" i="17"/>
  <c r="B254" i="17"/>
  <c r="B253" i="17"/>
  <c r="B252" i="17"/>
  <c r="B251" i="17"/>
  <c r="B250" i="17"/>
  <c r="B249" i="17"/>
  <c r="B248" i="17"/>
  <c r="B247" i="17"/>
  <c r="B246" i="17"/>
  <c r="B245" i="17"/>
  <c r="B244" i="17"/>
  <c r="B243" i="17"/>
  <c r="B242" i="17"/>
  <c r="B241" i="17"/>
  <c r="B240" i="17"/>
  <c r="B239" i="17"/>
  <c r="B238" i="17"/>
  <c r="B237" i="17"/>
  <c r="B236" i="17"/>
  <c r="B235" i="17"/>
  <c r="B234" i="17"/>
  <c r="B233" i="17"/>
  <c r="B232" i="17"/>
  <c r="B231" i="17"/>
  <c r="B230" i="17"/>
  <c r="B229" i="17"/>
  <c r="B228" i="17"/>
  <c r="B227" i="17"/>
  <c r="B226" i="17"/>
  <c r="B225" i="17"/>
  <c r="B224" i="17"/>
  <c r="B223" i="17"/>
  <c r="B222" i="17"/>
  <c r="B221" i="17"/>
  <c r="B220" i="17"/>
  <c r="B219" i="17"/>
  <c r="B218" i="17"/>
  <c r="B217" i="17"/>
  <c r="B216" i="17"/>
  <c r="B215" i="17"/>
  <c r="B214" i="17"/>
  <c r="B213" i="17"/>
  <c r="B212" i="17"/>
  <c r="B211" i="17"/>
  <c r="B210" i="17"/>
  <c r="B209" i="17"/>
  <c r="B208" i="17"/>
  <c r="B207" i="17"/>
  <c r="B206" i="17"/>
  <c r="B205" i="17"/>
  <c r="B204" i="17"/>
  <c r="B203" i="17"/>
  <c r="B202" i="17"/>
  <c r="B201" i="17"/>
  <c r="B200" i="17"/>
  <c r="B199" i="17"/>
  <c r="B198" i="17"/>
  <c r="B197" i="17"/>
  <c r="B196" i="17"/>
  <c r="B195" i="17"/>
  <c r="B194" i="17"/>
  <c r="B193" i="17"/>
  <c r="B192" i="17"/>
  <c r="B191" i="17"/>
  <c r="B190" i="17"/>
  <c r="B189" i="17"/>
  <c r="B188" i="17"/>
  <c r="B187" i="17"/>
  <c r="B186" i="17"/>
  <c r="B185" i="17"/>
  <c r="B184" i="17"/>
  <c r="B183" i="17"/>
  <c r="B182" i="17"/>
  <c r="B181" i="17"/>
  <c r="B180" i="17"/>
  <c r="B179" i="17"/>
  <c r="B178" i="17"/>
  <c r="B177" i="17"/>
  <c r="B176" i="17"/>
  <c r="B175" i="17"/>
  <c r="B174" i="17"/>
  <c r="B173" i="17"/>
  <c r="B172" i="17"/>
  <c r="B171" i="17"/>
  <c r="B170" i="17"/>
  <c r="B169" i="17"/>
  <c r="B168" i="17"/>
  <c r="B167" i="17"/>
  <c r="B166" i="17"/>
  <c r="B165" i="17"/>
  <c r="B164" i="17"/>
  <c r="B163" i="17"/>
  <c r="B162" i="17"/>
  <c r="B161" i="17"/>
  <c r="B160" i="17"/>
  <c r="B159" i="17"/>
  <c r="B158" i="17"/>
  <c r="B157" i="17"/>
  <c r="B156" i="17"/>
  <c r="B155" i="17"/>
  <c r="B154" i="17"/>
  <c r="B153" i="17"/>
  <c r="B152" i="17"/>
  <c r="B151" i="17"/>
  <c r="B150" i="17"/>
  <c r="B149" i="17"/>
  <c r="B148" i="17"/>
  <c r="B147" i="17"/>
  <c r="B146" i="17"/>
  <c r="B145" i="17"/>
  <c r="B144" i="17"/>
  <c r="B143" i="17"/>
  <c r="B142" i="17"/>
  <c r="B141" i="17"/>
  <c r="B140" i="17"/>
  <c r="B139" i="17"/>
  <c r="B138" i="17"/>
  <c r="B137" i="17"/>
  <c r="B136" i="17"/>
  <c r="B135" i="17"/>
  <c r="B134" i="17"/>
  <c r="B133" i="17"/>
  <c r="B132" i="17"/>
  <c r="B131" i="17"/>
  <c r="B130" i="17"/>
  <c r="B129" i="17"/>
  <c r="B128" i="17"/>
  <c r="B127" i="17"/>
  <c r="B126" i="17"/>
  <c r="B125" i="17"/>
  <c r="B124" i="17"/>
  <c r="B123" i="17"/>
  <c r="B122" i="17"/>
  <c r="B121" i="17"/>
  <c r="B120" i="17"/>
  <c r="B119" i="17"/>
  <c r="B118" i="17"/>
  <c r="B117" i="17"/>
  <c r="B116" i="17"/>
  <c r="B115" i="17"/>
  <c r="B114" i="17"/>
  <c r="B113" i="17"/>
  <c r="B112" i="17"/>
  <c r="B111" i="17"/>
  <c r="B110" i="17"/>
  <c r="B109" i="17"/>
  <c r="B108" i="17"/>
  <c r="B107" i="17"/>
  <c r="B106" i="17"/>
  <c r="B105" i="17"/>
  <c r="B104" i="17"/>
  <c r="B103" i="17"/>
  <c r="B102" i="17"/>
  <c r="B101" i="17"/>
  <c r="B100" i="17"/>
  <c r="B99" i="17"/>
  <c r="B98" i="17"/>
  <c r="B97" i="17"/>
  <c r="B96" i="17"/>
  <c r="B95" i="17"/>
  <c r="B94" i="17"/>
  <c r="B93" i="17"/>
  <c r="B92" i="17"/>
  <c r="B91" i="17"/>
  <c r="B90" i="17"/>
  <c r="B89" i="17"/>
  <c r="B88" i="17"/>
  <c r="B87" i="17"/>
  <c r="B86" i="17"/>
  <c r="B85" i="17"/>
  <c r="B84" i="17"/>
  <c r="B83" i="17"/>
  <c r="B82" i="17"/>
  <c r="B81" i="17"/>
  <c r="B80" i="17"/>
  <c r="B79" i="17"/>
  <c r="B78" i="17"/>
  <c r="B77" i="17"/>
  <c r="B76" i="17"/>
  <c r="B75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" i="17"/>
  <c r="B2" i="17"/>
  <c r="F6" i="16"/>
  <c r="F7" i="16"/>
  <c r="F8" i="16"/>
  <c r="F9" i="16"/>
  <c r="F10" i="16"/>
  <c r="F11" i="16"/>
  <c r="F12" i="16"/>
  <c r="F13" i="16"/>
  <c r="F14" i="16"/>
  <c r="F15" i="16"/>
  <c r="F16" i="16"/>
  <c r="F5" i="16"/>
  <c r="C28" i="13"/>
  <c r="A4" i="14" s="1"/>
  <c r="C29" i="13"/>
  <c r="A5" i="14" s="1"/>
  <c r="C30" i="13"/>
  <c r="A6" i="14" s="1"/>
  <c r="C31" i="13"/>
  <c r="A7" i="14" s="1"/>
  <c r="C32" i="13"/>
  <c r="A8" i="14" s="1"/>
  <c r="C33" i="13"/>
  <c r="A9" i="14" s="1"/>
  <c r="C34" i="13"/>
  <c r="A10" i="14" s="1"/>
  <c r="C35" i="13"/>
  <c r="A11" i="14" s="1"/>
  <c r="C36" i="13"/>
  <c r="A12" i="14" s="1"/>
  <c r="C37" i="13"/>
  <c r="A13" i="14" s="1"/>
  <c r="C27" i="13"/>
  <c r="A3" i="14" s="1"/>
  <c r="C26" i="13"/>
  <c r="A2" i="14" s="1"/>
  <c r="C15" i="13"/>
  <c r="C16" i="13"/>
  <c r="C17" i="13"/>
  <c r="C18" i="13"/>
  <c r="C19" i="13"/>
  <c r="C20" i="13"/>
  <c r="C21" i="13"/>
  <c r="C22" i="13"/>
  <c r="C23" i="13"/>
  <c r="C24" i="13"/>
  <c r="C25" i="13"/>
  <c r="C14" i="13"/>
  <c r="C3" i="13"/>
  <c r="F3" i="13" s="1"/>
  <c r="C4" i="13"/>
  <c r="F4" i="13" s="1"/>
  <c r="C5" i="13"/>
  <c r="F5" i="13" s="1"/>
  <c r="C6" i="13"/>
  <c r="F6" i="13" s="1"/>
  <c r="C7" i="13"/>
  <c r="D7" i="13" s="1"/>
  <c r="G7" i="13" s="1"/>
  <c r="H7" i="13" s="1"/>
  <c r="I7" i="13" s="1"/>
  <c r="C8" i="13"/>
  <c r="D8" i="13" s="1"/>
  <c r="G8" i="13" s="1"/>
  <c r="H8" i="13" s="1"/>
  <c r="I8" i="13" s="1"/>
  <c r="C9" i="13"/>
  <c r="F9" i="13" s="1"/>
  <c r="C10" i="13"/>
  <c r="F10" i="13" s="1"/>
  <c r="C11" i="13"/>
  <c r="F11" i="13" s="1"/>
  <c r="C12" i="13"/>
  <c r="F12" i="13" s="1"/>
  <c r="C13" i="13"/>
  <c r="D13" i="13" s="1"/>
  <c r="G13" i="13" s="1"/>
  <c r="H13" i="13" s="1"/>
  <c r="I13" i="13" s="1"/>
  <c r="C2" i="13"/>
  <c r="F2" i="13" s="1"/>
  <c r="F5" i="11"/>
  <c r="F17" i="11"/>
  <c r="F6" i="11"/>
  <c r="F7" i="11"/>
  <c r="F8" i="11"/>
  <c r="F9" i="11"/>
  <c r="F10" i="11"/>
  <c r="F11" i="11"/>
  <c r="F12" i="11"/>
  <c r="F13" i="11"/>
  <c r="F14" i="11"/>
  <c r="F15" i="11"/>
  <c r="F16" i="11"/>
  <c r="X5" i="4"/>
  <c r="X6" i="4"/>
  <c r="X7" i="4"/>
  <c r="X8" i="4"/>
  <c r="X9" i="4"/>
  <c r="X10" i="4"/>
  <c r="X11" i="4"/>
  <c r="X12" i="4"/>
  <c r="X13" i="4"/>
  <c r="X14" i="4"/>
  <c r="X15" i="4"/>
  <c r="X4" i="4"/>
  <c r="C38" i="18"/>
  <c r="C60" i="18"/>
  <c r="H8" i="18"/>
  <c r="C39" i="18"/>
  <c r="C61" i="18"/>
  <c r="C40" i="18"/>
  <c r="C41" i="18"/>
  <c r="C42" i="18"/>
  <c r="C43" i="18"/>
  <c r="C44" i="18"/>
  <c r="H2" i="18"/>
  <c r="C45" i="18"/>
  <c r="H3" i="18"/>
  <c r="C46" i="18"/>
  <c r="H4" i="18"/>
  <c r="C47" i="18"/>
  <c r="H5" i="18"/>
  <c r="C48" i="18"/>
  <c r="H6" i="18"/>
  <c r="C49" i="18"/>
  <c r="H7" i="18"/>
  <c r="C50" i="18"/>
  <c r="C51" i="18"/>
  <c r="C52" i="18"/>
  <c r="C53" i="18"/>
  <c r="C54" i="18"/>
  <c r="C55" i="18"/>
  <c r="C56" i="18"/>
  <c r="C57" i="18"/>
  <c r="C58" i="18"/>
  <c r="C59" i="18"/>
  <c r="D11" i="13" l="1"/>
  <c r="G11" i="13" s="1"/>
  <c r="H11" i="13" s="1"/>
  <c r="I11" i="13" s="1"/>
  <c r="D10" i="13"/>
  <c r="G10" i="13" s="1"/>
  <c r="H10" i="13" s="1"/>
  <c r="I10" i="13" s="1"/>
  <c r="D3" i="13"/>
  <c r="G3" i="13" s="1"/>
  <c r="H3" i="13" s="1"/>
  <c r="I3" i="13" s="1"/>
  <c r="F13" i="13"/>
  <c r="F8" i="13"/>
  <c r="D5" i="13"/>
  <c r="G5" i="13" s="1"/>
  <c r="H5" i="13" s="1"/>
  <c r="I5" i="13" s="1"/>
  <c r="F7" i="13"/>
  <c r="D2" i="13"/>
  <c r="G2" i="13" s="1"/>
  <c r="H2" i="13" s="1"/>
  <c r="I2" i="13" s="1"/>
  <c r="D6" i="13"/>
  <c r="G6" i="13" s="1"/>
  <c r="H6" i="13" s="1"/>
  <c r="I6" i="13" s="1"/>
  <c r="D12" i="13"/>
  <c r="G12" i="13" s="1"/>
  <c r="H12" i="13" s="1"/>
  <c r="I12" i="13" s="1"/>
  <c r="D4" i="13"/>
  <c r="D9" i="13"/>
  <c r="G9" i="13" s="1"/>
  <c r="H9" i="13" s="1"/>
  <c r="I9" i="13" s="1"/>
  <c r="G5" i="11"/>
  <c r="Y4" i="4" s="1"/>
  <c r="Z4" i="4" s="1"/>
  <c r="G13" i="11"/>
  <c r="Y12" i="4" s="1"/>
  <c r="Z12" i="4" s="1"/>
  <c r="G12" i="11"/>
  <c r="Y11" i="4" s="1"/>
  <c r="Z11" i="4" s="1"/>
  <c r="G11" i="11"/>
  <c r="Y10" i="4" s="1"/>
  <c r="Z10" i="4" s="1"/>
  <c r="G7" i="11"/>
  <c r="Y6" i="4" s="1"/>
  <c r="Z6" i="4" s="1"/>
  <c r="G14" i="11"/>
  <c r="Y13" i="4" s="1"/>
  <c r="Z13" i="4" s="1"/>
  <c r="G6" i="11"/>
  <c r="Y5" i="4" s="1"/>
  <c r="Z5" i="4" s="1"/>
  <c r="G9" i="11"/>
  <c r="Y8" i="4" s="1"/>
  <c r="Z8" i="4" s="1"/>
  <c r="G10" i="11"/>
  <c r="Y9" i="4" s="1"/>
  <c r="Z9" i="4" s="1"/>
  <c r="G8" i="11"/>
  <c r="Y7" i="4" s="1"/>
  <c r="Z7" i="4" s="1"/>
  <c r="G15" i="11"/>
  <c r="Y14" i="4" s="1"/>
  <c r="Z14" i="4" s="1"/>
  <c r="G16" i="11"/>
  <c r="Y15" i="4" s="1"/>
  <c r="Z15" i="4" s="1"/>
  <c r="X16" i="4"/>
  <c r="D59" i="18"/>
  <c r="D48" i="18"/>
  <c r="E60" i="18"/>
  <c r="E59" i="18"/>
  <c r="E48" i="18"/>
  <c r="D60" i="18"/>
  <c r="D58" i="18"/>
  <c r="D47" i="18"/>
  <c r="D38" i="18"/>
  <c r="E58" i="18"/>
  <c r="E47" i="18"/>
  <c r="E38" i="18"/>
  <c r="D57" i="18"/>
  <c r="D46" i="18"/>
  <c r="E57" i="18"/>
  <c r="E46" i="18"/>
  <c r="E56" i="18"/>
  <c r="D45" i="18"/>
  <c r="D56" i="18"/>
  <c r="E45" i="18"/>
  <c r="D55" i="18"/>
  <c r="D44" i="18"/>
  <c r="E55" i="18"/>
  <c r="E44" i="18"/>
  <c r="D54" i="18"/>
  <c r="E54" i="18"/>
  <c r="E43" i="18"/>
  <c r="D53" i="18"/>
  <c r="D42" i="18"/>
  <c r="E53" i="18"/>
  <c r="D41" i="18"/>
  <c r="E41" i="18"/>
  <c r="D51" i="18"/>
  <c r="E40" i="18"/>
  <c r="D61" i="18"/>
  <c r="E61" i="18"/>
  <c r="D39" i="18"/>
  <c r="D43" i="18"/>
  <c r="E42" i="18"/>
  <c r="D52" i="18"/>
  <c r="E52" i="18"/>
  <c r="D40" i="18"/>
  <c r="E51" i="18"/>
  <c r="D50" i="18"/>
  <c r="E50" i="18"/>
  <c r="D49" i="18"/>
  <c r="E49" i="18"/>
  <c r="E39" i="18"/>
  <c r="G4" i="13" l="1"/>
  <c r="H4" i="13" s="1"/>
  <c r="I4" i="13" s="1"/>
  <c r="E3" i="13"/>
  <c r="E4" i="13" s="1"/>
  <c r="E5" i="13" s="1"/>
  <c r="E6" i="13" s="1"/>
  <c r="E7" i="13" s="1"/>
  <c r="E8" i="13" s="1"/>
  <c r="E9" i="13" s="1"/>
  <c r="E10" i="13" s="1"/>
  <c r="E11" i="13" s="1"/>
  <c r="E12" i="13" s="1"/>
  <c r="E13" i="13" s="1"/>
  <c r="G14" i="13" s="1"/>
  <c r="G17" i="11"/>
  <c r="Y16" i="4" s="1"/>
  <c r="H14" i="13" l="1"/>
  <c r="I14" i="13" s="1"/>
  <c r="D14" i="13"/>
  <c r="F14" i="13" s="1"/>
  <c r="E14" i="13" l="1"/>
  <c r="G15" i="13" s="1"/>
  <c r="H15" i="13" s="1"/>
  <c r="I15" i="13" s="1"/>
  <c r="D15" i="13" l="1"/>
  <c r="E15" i="13" l="1"/>
  <c r="D16" i="13" s="1"/>
  <c r="F15" i="13"/>
  <c r="G16" i="13" l="1"/>
  <c r="H16" i="13" s="1"/>
  <c r="I16" i="13" s="1"/>
  <c r="E16" i="13"/>
  <c r="D17" i="13" s="1"/>
  <c r="F16" i="13"/>
  <c r="G17" i="13" l="1"/>
  <c r="H17" i="13" s="1"/>
  <c r="I17" i="13" s="1"/>
  <c r="F17" i="13"/>
  <c r="E17" i="13"/>
  <c r="D18" i="13" s="1"/>
  <c r="G18" i="13" l="1"/>
  <c r="H18" i="13" s="1"/>
  <c r="I18" i="13" s="1"/>
  <c r="E18" i="13"/>
  <c r="D19" i="13" s="1"/>
  <c r="F18" i="13"/>
  <c r="G19" i="13" l="1"/>
  <c r="H19" i="13" s="1"/>
  <c r="I19" i="13" s="1"/>
  <c r="F19" i="13"/>
  <c r="E19" i="13"/>
  <c r="D20" i="13" s="1"/>
  <c r="G20" i="13" l="1"/>
  <c r="H20" i="13" s="1"/>
  <c r="I20" i="13" s="1"/>
  <c r="F20" i="13"/>
  <c r="E20" i="13"/>
  <c r="D21" i="13" s="1"/>
  <c r="G21" i="13" l="1"/>
  <c r="H21" i="13" s="1"/>
  <c r="I21" i="13" s="1"/>
  <c r="F21" i="13"/>
  <c r="E21" i="13"/>
  <c r="D22" i="13" s="1"/>
  <c r="G22" i="13" l="1"/>
  <c r="H22" i="13" s="1"/>
  <c r="I22" i="13" s="1"/>
  <c r="F22" i="13"/>
  <c r="E22" i="13"/>
  <c r="D23" i="13" s="1"/>
  <c r="G23" i="13" l="1"/>
  <c r="H23" i="13" s="1"/>
  <c r="I23" i="13" s="1"/>
  <c r="F23" i="13"/>
  <c r="E23" i="13"/>
  <c r="D24" i="13" s="1"/>
  <c r="G24" i="13" l="1"/>
  <c r="H24" i="13" s="1"/>
  <c r="I24" i="13" s="1"/>
  <c r="F24" i="13"/>
  <c r="E24" i="13"/>
  <c r="D25" i="13" s="1"/>
  <c r="G25" i="13" l="1"/>
  <c r="H25" i="13" s="1"/>
  <c r="I25" i="13" s="1"/>
  <c r="F25" i="13"/>
  <c r="E25" i="13"/>
  <c r="D26" i="13" s="1"/>
  <c r="G26" i="13" l="1"/>
  <c r="F26" i="13"/>
  <c r="E26" i="13"/>
  <c r="D27" i="13" s="1"/>
  <c r="H26" i="13" l="1"/>
  <c r="I26" i="13" s="1"/>
  <c r="B2" i="14"/>
  <c r="C2" i="14" s="1"/>
  <c r="G27" i="13"/>
  <c r="E27" i="13"/>
  <c r="D28" i="13" s="1"/>
  <c r="F27" i="13"/>
  <c r="H27" i="13" l="1"/>
  <c r="I27" i="13" s="1"/>
  <c r="B3" i="14"/>
  <c r="C3" i="14" s="1"/>
  <c r="D3" i="14" s="1"/>
  <c r="G28" i="13"/>
  <c r="F28" i="13"/>
  <c r="E28" i="13"/>
  <c r="D29" i="13" s="1"/>
  <c r="H28" i="13" l="1"/>
  <c r="I28" i="13" s="1"/>
  <c r="B4" i="14"/>
  <c r="C4" i="14" s="1"/>
  <c r="G29" i="13"/>
  <c r="F29" i="13"/>
  <c r="E29" i="13"/>
  <c r="D30" i="13" s="1"/>
  <c r="H29" i="13" l="1"/>
  <c r="I29" i="13" s="1"/>
  <c r="B5" i="14"/>
  <c r="C5" i="14" s="1"/>
  <c r="D5" i="14" s="1"/>
  <c r="D4" i="14"/>
  <c r="G30" i="13"/>
  <c r="F30" i="13"/>
  <c r="E30" i="13"/>
  <c r="D31" i="13" s="1"/>
  <c r="H30" i="13" l="1"/>
  <c r="I30" i="13" s="1"/>
  <c r="B6" i="14"/>
  <c r="C6" i="14" s="1"/>
  <c r="G31" i="13"/>
  <c r="F31" i="13"/>
  <c r="E31" i="13"/>
  <c r="D32" i="13" s="1"/>
  <c r="H31" i="13" l="1"/>
  <c r="I31" i="13" s="1"/>
  <c r="B7" i="14"/>
  <c r="C7" i="14" s="1"/>
  <c r="D7" i="14" s="1"/>
  <c r="D6" i="14"/>
  <c r="G32" i="13"/>
  <c r="F32" i="13"/>
  <c r="E32" i="13"/>
  <c r="D33" i="13" s="1"/>
  <c r="H32" i="13" l="1"/>
  <c r="I32" i="13" s="1"/>
  <c r="B8" i="14"/>
  <c r="C8" i="14" s="1"/>
  <c r="G33" i="13"/>
  <c r="E33" i="13"/>
  <c r="D34" i="13" s="1"/>
  <c r="F33" i="13"/>
  <c r="H33" i="13" l="1"/>
  <c r="I33" i="13" s="1"/>
  <c r="B9" i="14"/>
  <c r="C9" i="14" s="1"/>
  <c r="D9" i="14" s="1"/>
  <c r="D8" i="14"/>
  <c r="G34" i="13"/>
  <c r="F34" i="13"/>
  <c r="E34" i="13"/>
  <c r="D35" i="13" s="1"/>
  <c r="H34" i="13" l="1"/>
  <c r="I34" i="13" s="1"/>
  <c r="B10" i="14"/>
  <c r="C10" i="14" s="1"/>
  <c r="G35" i="13"/>
  <c r="F35" i="13"/>
  <c r="E35" i="13"/>
  <c r="D36" i="13" s="1"/>
  <c r="D10" i="14" l="1"/>
  <c r="H35" i="13"/>
  <c r="I35" i="13" s="1"/>
  <c r="B11" i="14"/>
  <c r="C11" i="14" s="1"/>
  <c r="D11" i="14" s="1"/>
  <c r="F36" i="13"/>
  <c r="E36" i="13"/>
  <c r="G36" i="13"/>
  <c r="H36" i="13" l="1"/>
  <c r="I36" i="13" s="1"/>
  <c r="B12" i="14"/>
  <c r="C12" i="14" s="1"/>
  <c r="D12" i="14" s="1"/>
  <c r="G37" i="13"/>
  <c r="F37" i="13"/>
  <c r="E38" i="13" l="1"/>
  <c r="G39" i="13" s="1"/>
  <c r="H37" i="13"/>
  <c r="I37" i="13" s="1"/>
  <c r="B13" i="14"/>
  <c r="C13" i="14" s="1"/>
  <c r="D13" i="14" l="1"/>
  <c r="E39" i="13" l="1"/>
  <c r="D40" i="13" l="1"/>
  <c r="G40" i="13"/>
  <c r="E40" i="13" l="1"/>
  <c r="G41" i="13" s="1"/>
  <c r="D41" i="13" l="1"/>
  <c r="E41" i="13" l="1"/>
  <c r="G42" i="13" s="1"/>
  <c r="D42" i="13" l="1"/>
  <c r="E42" i="13" l="1"/>
  <c r="G43" i="13" s="1"/>
  <c r="D43" i="13" l="1"/>
  <c r="E43" i="13" l="1"/>
  <c r="D44" i="13" s="1"/>
  <c r="E44" i="13" l="1"/>
  <c r="D45" i="13" s="1"/>
  <c r="G44" i="13"/>
  <c r="G45" i="13" l="1"/>
  <c r="E45" i="13"/>
  <c r="D46" i="13" s="1"/>
  <c r="E46" i="13" s="1"/>
  <c r="G47" i="13" s="1"/>
  <c r="G46" i="13" l="1"/>
  <c r="D47" i="13"/>
  <c r="E47" i="13" l="1"/>
  <c r="G48" i="13" s="1"/>
  <c r="D48" i="13" l="1"/>
  <c r="E48" i="13" l="1"/>
  <c r="G49" i="13" s="1"/>
  <c r="D49" i="13" l="1"/>
  <c r="E49" i="13" l="1"/>
  <c r="L2" i="4" l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F3CF04-5172-2E4E-A44A-D66B9DFC03D2}" keepAlive="1" name="Запрос — product" description="Соединение с запросом &quot;product&quot; в книге." type="5" refreshedVersion="0" background="1">
    <dbPr connection="Provider=Microsoft.Mashup.OleDb.1;Data Source=$Workbook$;Location=product;Extended Properties=&quot;&quot;" command="SELECT * FROM [product]"/>
  </connection>
  <connection id="2" xr16:uid="{88425733-93DB-D846-A0E3-493006BAB841}" keepAlive="1" name="Запрос — sales (2)" description="Соединение с запросом &quot;sales (2)&quot; в книге." type="5" refreshedVersion="8" background="1" saveData="1">
    <dbPr connection="Provider=Microsoft.Mashup.OleDb.1;Data Source=$Workbook$;Location=&quot;sales (2)&quot;;Extended Properties=&quot;&quot;" command="SELECT * FROM [sales (2)]"/>
  </connection>
  <connection id="3" xr16:uid="{AAEE8F38-9228-1349-92E3-DAEAA8BC1FEB}" keepAlive="1" name="Запрос — store_cities" description="Соединение с запросом &quot;store_cities&quot; в книге." type="5" refreshedVersion="8" background="1" saveData="1">
    <dbPr connection="Provider=Microsoft.Mashup.OleDb.1;Data Source=$Workbook$;Location=store_cities;Extended Properties=&quot;&quot;" command="SELECT * FROM [store_cities]"/>
  </connection>
  <connection id="4" xr16:uid="{4C0BB219-2315-4636-922F-651074887974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<sst xmlns="http://schemas.openxmlformats.org/spreadsheetml/2006/main" count="2048" uniqueCount="86">
  <si>
    <t>sales</t>
  </si>
  <si>
    <t>revenue</t>
  </si>
  <si>
    <t>stock</t>
  </si>
  <si>
    <t>price</t>
  </si>
  <si>
    <t>year</t>
  </si>
  <si>
    <t>month</t>
  </si>
  <si>
    <t>Shoe_model</t>
  </si>
  <si>
    <t>Shoe _Type</t>
  </si>
  <si>
    <t>Gender</t>
  </si>
  <si>
    <t>Cost</t>
  </si>
  <si>
    <t>Doe Runner</t>
  </si>
  <si>
    <t>Running</t>
  </si>
  <si>
    <t>F</t>
  </si>
  <si>
    <t>Doe Trek</t>
  </si>
  <si>
    <t>Hiking</t>
  </si>
  <si>
    <t>Doe Canvas</t>
  </si>
  <si>
    <t>Casual</t>
  </si>
  <si>
    <t>Doe Vintage</t>
  </si>
  <si>
    <t>Limited</t>
  </si>
  <si>
    <t>Doe Slip-On</t>
  </si>
  <si>
    <t>M</t>
  </si>
  <si>
    <t>Doe Air</t>
  </si>
  <si>
    <t>Column2</t>
  </si>
  <si>
    <t>Istanbul</t>
  </si>
  <si>
    <t>Ankara</t>
  </si>
  <si>
    <t>Izmir</t>
  </si>
  <si>
    <t>Bursa</t>
  </si>
  <si>
    <t>Antalya</t>
  </si>
  <si>
    <t>Konya</t>
  </si>
  <si>
    <t>Date</t>
  </si>
  <si>
    <t>Названия строк</t>
  </si>
  <si>
    <t>Общий итог</t>
  </si>
  <si>
    <t>2022</t>
  </si>
  <si>
    <t>2023</t>
  </si>
  <si>
    <t>2024</t>
  </si>
  <si>
    <t>янв</t>
  </si>
  <si>
    <t>февр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</si>
  <si>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</si>
  <si>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</si>
  <si>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</si>
  <si>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</si>
  <si>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</si>
  <si>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</si>
  <si>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</si>
  <si>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</si>
  <si>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</si>
  <si>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</si>
  <si>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Сумма по полю sales</t>
  </si>
  <si>
    <t>Названия столбцов</t>
  </si>
  <si>
    <t>Среднее по полю sales</t>
  </si>
  <si>
    <t>КС</t>
  </si>
  <si>
    <t xml:space="preserve">Среднее 
значение </t>
  </si>
  <si>
    <t>k</t>
  </si>
  <si>
    <t>Yt (факт)</t>
  </si>
  <si>
    <t>Lt (сглаж. уровень)</t>
  </si>
  <si>
    <t>Tt (тренд)</t>
  </si>
  <si>
    <t>St (сезонность)</t>
  </si>
  <si>
    <t>Прогноз (Ŷt)</t>
  </si>
  <si>
    <t>Ошибка</t>
  </si>
  <si>
    <t>|ошибка|/Yt (факт)</t>
  </si>
  <si>
    <t>b</t>
  </si>
  <si>
    <t>q</t>
  </si>
  <si>
    <t>s</t>
  </si>
  <si>
    <t>MAPE</t>
  </si>
  <si>
    <t>Дата</t>
  </si>
  <si>
    <t>Период (t)</t>
  </si>
  <si>
    <t>фактические
 значения</t>
  </si>
  <si>
    <t>Прогноз</t>
  </si>
  <si>
    <t>абсолютная 
ошибка</t>
  </si>
  <si>
    <t>относительная
ошибка</t>
  </si>
  <si>
    <t>MSE</t>
  </si>
  <si>
    <t>23+H268</t>
  </si>
  <si>
    <t>Сравнение</t>
  </si>
  <si>
    <t>Количество по полю sales</t>
  </si>
  <si>
    <t>Прогноз(sales)</t>
  </si>
  <si>
    <t>Привязка низкой вероятности(sales)</t>
  </si>
  <si>
    <t>Привязка высокой вероятности(sales)</t>
  </si>
  <si>
    <t>Статистика</t>
  </si>
  <si>
    <t>Значение</t>
  </si>
  <si>
    <t>Alpha</t>
  </si>
  <si>
    <t>Beta</t>
  </si>
  <si>
    <t>Gamma</t>
  </si>
  <si>
    <t>MASE</t>
  </si>
  <si>
    <t>SMAPE</t>
  </si>
  <si>
    <t>MAE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</si>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</sst>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/>
    <xf numFmtId="17" fontId="0" fillId="0" borderId="0" xfId="0" applyNumberFormat="1"/>
    <xf numFmtId="17" fontId="0" fillId="0" borderId="1" xfId="0" applyNumberFormat="1" applyBorder="1"/>
    <xf numFmtId="0" fontId="0" fillId="0" borderId="1" xfId="0" applyBorder="1"/>
    <xf numFmtId="0" fontId="0" fillId="0" borderId="0" xfId="0" applyAlignment="1">
      <alignment horizontal="center" vertical="center" wrapText="1"/>
    </xf>
    <xf numFmtId="1" fontId="0" fillId="0" borderId="1" xfId="0" applyNumberFormat="1" applyBorder="1"/>
    <xf numFmtId="2" fontId="0" fillId="0" borderId="0" xfId="0" applyNumberFormat="1"/>
    <xf numFmtId="4" fontId="0" fillId="0" borderId="0" xfId="0" applyNumberFormat="1"/>
  </cellXfs>
  <cellStyles count="1">
    <cellStyle name="Обычный" xfId="0" builtinId="0"/>
  </cellStyles>
  <dxfs count="13">
    <dxf>
      <numFmt numFmtId="4" formatCode="#,##0.00"/>
    </dxf>
    <dxf>
      <numFmt numFmtId="2" formatCode="0.00"/>
    </dxf>
    <dxf>
      <numFmt numFmtId="2" formatCode="0.00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[Sales.xlsx]График 1!Сводная таблица5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'График 1'!$B$3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'График 1'!$A$4:$A$43</c:f>
              <c:multiLvlStrCache>
                <c:ptCount val="36"/>
                <c:lvl>
                  <c:pt idx="0">
                    <c:v>янв</c:v>
                  </c:pt>
                  <c:pt idx="1">
                    <c:v>февр</c:v>
                  </c:pt>
                  <c:pt idx="2">
                    <c:v>март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</c:v>
                  </c:pt>
                  <c:pt idx="8">
                    <c:v>сент</c:v>
                  </c:pt>
                  <c:pt idx="9">
                    <c:v>окт</c:v>
                  </c:pt>
                  <c:pt idx="10">
                    <c:v>нояб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февр</c:v>
                  </c:pt>
                  <c:pt idx="14">
                    <c:v>март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</c:v>
                  </c:pt>
                  <c:pt idx="20">
                    <c:v>сент</c:v>
                  </c:pt>
                  <c:pt idx="21">
                    <c:v>окт</c:v>
                  </c:pt>
                  <c:pt idx="22">
                    <c:v>нояб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февр</c:v>
                  </c:pt>
                  <c:pt idx="26">
                    <c:v>март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</c:v>
                  </c:pt>
                  <c:pt idx="32">
                    <c:v>сент</c:v>
                  </c:pt>
                  <c:pt idx="33">
                    <c:v>окт</c:v>
                  </c:pt>
                  <c:pt idx="34">
                    <c:v>нояб</c:v>
                  </c:pt>
                  <c:pt idx="35">
                    <c:v>дек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'График 1'!$B$4:$B$43</c:f>
              <c:numCache>
                <c:formatCode>General</c:formatCode>
                <c:ptCount val="36"/>
                <c:pt idx="0">
                  <c:v>38</c:v>
                </c:pt>
                <c:pt idx="1">
                  <c:v>22</c:v>
                </c:pt>
                <c:pt idx="2">
                  <c:v>48</c:v>
                </c:pt>
                <c:pt idx="3">
                  <c:v>31</c:v>
                </c:pt>
                <c:pt idx="4">
                  <c:v>47</c:v>
                </c:pt>
                <c:pt idx="5">
                  <c:v>66</c:v>
                </c:pt>
                <c:pt idx="6">
                  <c:v>73</c:v>
                </c:pt>
                <c:pt idx="7">
                  <c:v>69</c:v>
                </c:pt>
                <c:pt idx="8">
                  <c:v>60</c:v>
                </c:pt>
                <c:pt idx="9">
                  <c:v>33</c:v>
                </c:pt>
                <c:pt idx="10">
                  <c:v>50</c:v>
                </c:pt>
                <c:pt idx="11">
                  <c:v>36</c:v>
                </c:pt>
                <c:pt idx="12">
                  <c:v>47</c:v>
                </c:pt>
                <c:pt idx="13">
                  <c:v>21</c:v>
                </c:pt>
                <c:pt idx="14">
                  <c:v>52</c:v>
                </c:pt>
                <c:pt idx="15">
                  <c:v>34</c:v>
                </c:pt>
                <c:pt idx="16">
                  <c:v>53</c:v>
                </c:pt>
                <c:pt idx="17">
                  <c:v>66</c:v>
                </c:pt>
                <c:pt idx="18">
                  <c:v>78</c:v>
                </c:pt>
                <c:pt idx="19">
                  <c:v>72</c:v>
                </c:pt>
                <c:pt idx="20">
                  <c:v>59</c:v>
                </c:pt>
                <c:pt idx="21">
                  <c:v>34</c:v>
                </c:pt>
                <c:pt idx="22">
                  <c:v>56</c:v>
                </c:pt>
                <c:pt idx="23">
                  <c:v>36</c:v>
                </c:pt>
                <c:pt idx="24">
                  <c:v>49</c:v>
                </c:pt>
                <c:pt idx="25">
                  <c:v>23</c:v>
                </c:pt>
                <c:pt idx="26">
                  <c:v>53</c:v>
                </c:pt>
                <c:pt idx="27">
                  <c:v>33</c:v>
                </c:pt>
                <c:pt idx="28">
                  <c:v>50</c:v>
                </c:pt>
                <c:pt idx="29">
                  <c:v>67</c:v>
                </c:pt>
                <c:pt idx="30">
                  <c:v>76</c:v>
                </c:pt>
                <c:pt idx="31">
                  <c:v>72</c:v>
                </c:pt>
                <c:pt idx="32">
                  <c:v>59</c:v>
                </c:pt>
                <c:pt idx="33">
                  <c:v>36</c:v>
                </c:pt>
                <c:pt idx="34">
                  <c:v>54</c:v>
                </c:pt>
                <c:pt idx="3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7F-7C4E-8765-C6FC34062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226368"/>
        <c:axId val="961222784"/>
      </c:lineChart>
      <c:catAx>
        <c:axId val="96122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1222784"/>
        <c:crosses val="autoZero"/>
        <c:auto val="1"/>
        <c:lblAlgn val="ctr"/>
        <c:lblOffset val="100"/>
        <c:noMultiLvlLbl val="0"/>
      </c:catAx>
      <c:valAx>
        <c:axId val="96122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122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[Sales.xlsx]График 1!Сводная таблица5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'График 1'!$B$3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'График 1'!$A$4:$A$43</c:f>
              <c:multiLvlStrCache>
                <c:ptCount val="36"/>
                <c:lvl>
                  <c:pt idx="0">
                    <c:v>янв</c:v>
                  </c:pt>
                  <c:pt idx="1">
                    <c:v>февр</c:v>
                  </c:pt>
                  <c:pt idx="2">
                    <c:v>март</c:v>
                  </c:pt>
                  <c:pt idx="3">
                    <c:v>апр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</c:v>
                  </c:pt>
                  <c:pt idx="8">
                    <c:v>сент</c:v>
                  </c:pt>
                  <c:pt idx="9">
                    <c:v>окт</c:v>
                  </c:pt>
                  <c:pt idx="10">
                    <c:v>нояб</c:v>
                  </c:pt>
                  <c:pt idx="11">
                    <c:v>дек</c:v>
                  </c:pt>
                  <c:pt idx="12">
                    <c:v>янв</c:v>
                  </c:pt>
                  <c:pt idx="13">
                    <c:v>февр</c:v>
                  </c:pt>
                  <c:pt idx="14">
                    <c:v>март</c:v>
                  </c:pt>
                  <c:pt idx="15">
                    <c:v>апр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</c:v>
                  </c:pt>
                  <c:pt idx="20">
                    <c:v>сент</c:v>
                  </c:pt>
                  <c:pt idx="21">
                    <c:v>окт</c:v>
                  </c:pt>
                  <c:pt idx="22">
                    <c:v>нояб</c:v>
                  </c:pt>
                  <c:pt idx="23">
                    <c:v>дек</c:v>
                  </c:pt>
                  <c:pt idx="24">
                    <c:v>янв</c:v>
                  </c:pt>
                  <c:pt idx="25">
                    <c:v>февр</c:v>
                  </c:pt>
                  <c:pt idx="26">
                    <c:v>март</c:v>
                  </c:pt>
                  <c:pt idx="27">
                    <c:v>апр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</c:v>
                  </c:pt>
                  <c:pt idx="32">
                    <c:v>сент</c:v>
                  </c:pt>
                  <c:pt idx="33">
                    <c:v>окт</c:v>
                  </c:pt>
                  <c:pt idx="34">
                    <c:v>нояб</c:v>
                  </c:pt>
                  <c:pt idx="35">
                    <c:v>дек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</c:lvl>
              </c:multiLvlStrCache>
            </c:multiLvlStrRef>
          </c:cat>
          <c:val>
            <c:numRef>
              <c:f>'График 1'!$B$4:$B$43</c:f>
              <c:numCache>
                <c:formatCode>General</c:formatCode>
                <c:ptCount val="36"/>
                <c:pt idx="0">
                  <c:v>38</c:v>
                </c:pt>
                <c:pt idx="1">
                  <c:v>22</c:v>
                </c:pt>
                <c:pt idx="2">
                  <c:v>48</c:v>
                </c:pt>
                <c:pt idx="3">
                  <c:v>31</c:v>
                </c:pt>
                <c:pt idx="4">
                  <c:v>47</c:v>
                </c:pt>
                <c:pt idx="5">
                  <c:v>66</c:v>
                </c:pt>
                <c:pt idx="6">
                  <c:v>73</c:v>
                </c:pt>
                <c:pt idx="7">
                  <c:v>69</c:v>
                </c:pt>
                <c:pt idx="8">
                  <c:v>60</c:v>
                </c:pt>
                <c:pt idx="9">
                  <c:v>33</c:v>
                </c:pt>
                <c:pt idx="10">
                  <c:v>50</c:v>
                </c:pt>
                <c:pt idx="11">
                  <c:v>36</c:v>
                </c:pt>
                <c:pt idx="12">
                  <c:v>47</c:v>
                </c:pt>
                <c:pt idx="13">
                  <c:v>21</c:v>
                </c:pt>
                <c:pt idx="14">
                  <c:v>52</c:v>
                </c:pt>
                <c:pt idx="15">
                  <c:v>34</c:v>
                </c:pt>
                <c:pt idx="16">
                  <c:v>53</c:v>
                </c:pt>
                <c:pt idx="17">
                  <c:v>66</c:v>
                </c:pt>
                <c:pt idx="18">
                  <c:v>78</c:v>
                </c:pt>
                <c:pt idx="19">
                  <c:v>72</c:v>
                </c:pt>
                <c:pt idx="20">
                  <c:v>59</c:v>
                </c:pt>
                <c:pt idx="21">
                  <c:v>34</c:v>
                </c:pt>
                <c:pt idx="22">
                  <c:v>56</c:v>
                </c:pt>
                <c:pt idx="23">
                  <c:v>36</c:v>
                </c:pt>
                <c:pt idx="24">
                  <c:v>49</c:v>
                </c:pt>
                <c:pt idx="25">
                  <c:v>23</c:v>
                </c:pt>
                <c:pt idx="26">
                  <c:v>53</c:v>
                </c:pt>
                <c:pt idx="27">
                  <c:v>33</c:v>
                </c:pt>
                <c:pt idx="28">
                  <c:v>50</c:v>
                </c:pt>
                <c:pt idx="29">
                  <c:v>67</c:v>
                </c:pt>
                <c:pt idx="30">
                  <c:v>76</c:v>
                </c:pt>
                <c:pt idx="31">
                  <c:v>72</c:v>
                </c:pt>
                <c:pt idx="32">
                  <c:v>59</c:v>
                </c:pt>
                <c:pt idx="33">
                  <c:v>36</c:v>
                </c:pt>
                <c:pt idx="34">
                  <c:v>54</c:v>
                </c:pt>
                <c:pt idx="3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03-AB48-84BE-B61AE1E3F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226368"/>
        <c:axId val="961222784"/>
      </c:lineChart>
      <c:catAx>
        <c:axId val="96122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1222784"/>
        <c:crosses val="autoZero"/>
        <c:auto val="1"/>
        <c:lblAlgn val="ctr"/>
        <c:lblOffset val="100"/>
        <c:noMultiLvlLbl val="0"/>
      </c:catAx>
      <c:valAx>
        <c:axId val="96122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6122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КС по месяцам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'Сводная '!$G$5:$G$16</c:f>
              <c:numCache>
                <c:formatCode>General</c:formatCode>
                <c:ptCount val="12"/>
                <c:pt idx="0">
                  <c:v>0.79717419594720207</c:v>
                </c:pt>
                <c:pt idx="1">
                  <c:v>0.58895705521472397</c:v>
                </c:pt>
                <c:pt idx="2">
                  <c:v>0.91020635805911887</c:v>
                </c:pt>
                <c:pt idx="3">
                  <c:v>0.8745119910764082</c:v>
                </c:pt>
                <c:pt idx="4">
                  <c:v>0.89235917456776359</c:v>
                </c:pt>
                <c:pt idx="5">
                  <c:v>1.1838631715932331</c:v>
                </c:pt>
                <c:pt idx="6">
                  <c:v>1.3504368841792154</c:v>
                </c:pt>
                <c:pt idx="7">
                  <c:v>1.2671500278862244</c:v>
                </c:pt>
                <c:pt idx="8">
                  <c:v>1.0589328871537464</c:v>
                </c:pt>
                <c:pt idx="9">
                  <c:v>0.91912994980479656</c:v>
                </c:pt>
                <c:pt idx="10">
                  <c:v>0.95184978620561456</c:v>
                </c:pt>
                <c:pt idx="11">
                  <c:v>0.99944227551589526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FE-E043-BB3A-EF00C76D8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880192"/>
        <c:axId val="1793313855"/>
      </c:lineChart>
      <c:catAx>
        <c:axId val="703880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3313855"/>
        <c:crosses val="autoZero"/>
        <c:auto val="1"/>
        <c:lblAlgn val="ctr"/>
        <c:lblOffset val="100"/>
        <c:noMultiLvlLbl val="0"/>
      </c:catAx>
      <c:valAx>
        <c:axId val="179331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388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Лист5!$B$1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Лист5!$B$2:$B$61</c:f>
              <c:numCache>
                <c:formatCode>General</c:formatCode>
                <c:ptCount val="60"/>
                <c:pt idx="0">
                  <c:v>9.9333333333333336</c:v>
                </c:pt>
                <c:pt idx="1">
                  <c:v>9.1</c:v>
                </c:pt>
                <c:pt idx="2">
                  <c:v>13.272727272727273</c:v>
                </c:pt>
                <c:pt idx="3">
                  <c:v>12.384615384615385</c:v>
                </c:pt>
                <c:pt idx="4">
                  <c:v>16</c:v>
                </c:pt>
                <c:pt idx="5">
                  <c:v>18.923076923076923</c:v>
                </c:pt>
                <c:pt idx="6">
                  <c:v>20.307692307692307</c:v>
                </c:pt>
                <c:pt idx="7">
                  <c:v>19.166666666666668</c:v>
                </c:pt>
                <c:pt idx="8">
                  <c:v>16.666666666666668</c:v>
                </c:pt>
                <c:pt idx="9">
                  <c:v>12.692307692307692</c:v>
                </c:pt>
                <c:pt idx="10">
                  <c:v>14.454545454545455</c:v>
                </c:pt>
                <c:pt idx="11">
                  <c:v>14.384615384615385</c:v>
                </c:pt>
                <c:pt idx="12">
                  <c:v>11.055555555555555</c:v>
                </c:pt>
                <c:pt idx="13">
                  <c:v>10.1</c:v>
                </c:pt>
                <c:pt idx="14">
                  <c:v>14.909090909090908</c:v>
                </c:pt>
                <c:pt idx="15">
                  <c:v>13.692307692307692</c:v>
                </c:pt>
                <c:pt idx="16">
                  <c:v>17</c:v>
                </c:pt>
                <c:pt idx="17">
                  <c:v>18.75</c:v>
                </c:pt>
                <c:pt idx="18">
                  <c:v>21.692307692307693</c:v>
                </c:pt>
                <c:pt idx="19">
                  <c:v>19.25</c:v>
                </c:pt>
                <c:pt idx="20">
                  <c:v>16.5</c:v>
                </c:pt>
                <c:pt idx="21">
                  <c:v>12.76923076923077</c:v>
                </c:pt>
                <c:pt idx="22">
                  <c:v>14.909090909090908</c:v>
                </c:pt>
                <c:pt idx="23">
                  <c:v>14.23076923076923</c:v>
                </c:pt>
                <c:pt idx="24">
                  <c:v>11.166666666666666</c:v>
                </c:pt>
                <c:pt idx="25">
                  <c:v>10.3</c:v>
                </c:pt>
                <c:pt idx="26">
                  <c:v>15</c:v>
                </c:pt>
                <c:pt idx="27">
                  <c:v>13.76923076923077</c:v>
                </c:pt>
                <c:pt idx="28">
                  <c:v>16.818181818181817</c:v>
                </c:pt>
                <c:pt idx="29">
                  <c:v>19.153846153846153</c:v>
                </c:pt>
                <c:pt idx="30">
                  <c:v>21.46153846153846</c:v>
                </c:pt>
                <c:pt idx="31">
                  <c:v>19.416666666666668</c:v>
                </c:pt>
                <c:pt idx="32">
                  <c:v>16.666666666666668</c:v>
                </c:pt>
                <c:pt idx="33">
                  <c:v>12.923076923076923</c:v>
                </c:pt>
                <c:pt idx="34">
                  <c:v>14.727272727272727</c:v>
                </c:pt>
                <c:pt idx="35">
                  <c:v>14.692307692307692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74-4066-9621-48224B07AACF}"/>
            </c:ext>
          </c:extLst>
        </c:ser>
        <c:ser>
          <c:idx val="1"/>
          <c:order val="1"/>
          <c:tx>
            <c:strRef>
              <c:f>Лист5!$C$1</c:f>
              <c:strCache>
                <c:ptCount val="1"/>
                <c:pt idx="0">
                  <c:v>Прогноз(sales)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Лист5!$A$2:$A$61</c:f>
              <c:numCache>
                <c:formatCode>m/d/yy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Лист5!$C$2:$C$61</c:f>
              <c:numCache>
                <c:formatCode>General</c:formatCode>
                <c:ptCount val="60"/>
                <c:pt idx="35">
                  <c:v>14.692307692307692</c:v>
                </c:pt>
                <c:pt idx="36">
                  <c:v>11.275173025070568</c:v>
                </c:pt>
                <c:pt idx="37">
                  <c:v>10.33511205242948</c:v>
                </c:pt>
                <c:pt idx="38">
                  <c:v>15.16908989715766</c:v>
                </c:pt>
                <c:pt idx="39">
                  <c:v>13.969140525446839</c:v>
                </c:pt>
                <c:pt idx="40">
                  <c:v>17.291351266415724</c:v>
                </c:pt>
                <c:pt idx="41">
                  <c:v>19.325356553707223</c:v>
                </c:pt>
                <c:pt idx="42">
                  <c:v>21.489095600856349</c:v>
                </c:pt>
                <c:pt idx="43">
                  <c:v>19.695611494681632</c:v>
                </c:pt>
                <c:pt idx="44">
                  <c:v>17.071462393245106</c:v>
                </c:pt>
                <c:pt idx="45">
                  <c:v>13.220349136700881</c:v>
                </c:pt>
                <c:pt idx="46">
                  <c:v>15.177887866559958</c:v>
                </c:pt>
                <c:pt idx="47">
                  <c:v>14.936194352121696</c:v>
                </c:pt>
                <c:pt idx="48">
                  <c:v>11.585200807070194</c:v>
                </c:pt>
                <c:pt idx="49">
                  <c:v>10.645139834429109</c:v>
                </c:pt>
                <c:pt idx="50">
                  <c:v>15.479117679157287</c:v>
                </c:pt>
                <c:pt idx="51">
                  <c:v>14.279168307446467</c:v>
                </c:pt>
                <c:pt idx="52">
                  <c:v>17.60137904841535</c:v>
                </c:pt>
                <c:pt idx="53">
                  <c:v>19.635384335706849</c:v>
                </c:pt>
                <c:pt idx="54">
                  <c:v>21.799123382855974</c:v>
                </c:pt>
                <c:pt idx="55">
                  <c:v>20.005639276681258</c:v>
                </c:pt>
                <c:pt idx="56">
                  <c:v>17.381490175244735</c:v>
                </c:pt>
                <c:pt idx="57">
                  <c:v>13.530376918700508</c:v>
                </c:pt>
                <c:pt idx="58">
                  <c:v>15.487915648559587</c:v>
                </c:pt>
                <c:pt idx="59">
                  <c:v>15.246222134121323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74-4066-9621-48224B07AACF}"/>
            </c:ext>
          </c:extLst>
        </c:ser>
        <c:ser>
          <c:idx val="2"/>
          <c:order val="2"/>
          <c:tx>
            <c:strRef>
              <c:f>Лист5!$D$1</c:f>
              <c:strCache>
                <c:ptCount val="1"/>
                <c:pt idx="0">
                  <c:v>Привязка низкой вероятности(sales)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Лист5!$A$2:$A$61</c:f>
              <c:numCache>
                <c:formatCode>m/d/yy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Лист5!$D$2:$D$61</c:f>
              <c:numCache>
                <c:formatCode>General</c:formatCode>
                <c:ptCount val="60"/>
                <c:pt idx="35" formatCode="0.00">
                  <c:v>14.692307692307692</c:v>
                </c:pt>
                <c:pt idx="36" formatCode="0.00">
                  <c:v>10.688131480002752</c:v>
                </c:pt>
                <c:pt idx="37" formatCode="0.00">
                  <c:v>9.6782537468818646</c:v>
                </c:pt>
                <c:pt idx="38" formatCode="0.00">
                  <c:v>14.448913368546323</c:v>
                </c:pt>
                <c:pt idx="39" formatCode="0.00">
                  <c:v>13.190556771918338</c:v>
                </c:pt>
                <c:pt idx="40" formatCode="0.00">
                  <c:v>16.458237342939469</c:v>
                </c:pt>
                <c:pt idx="41" formatCode="0.00">
                  <c:v>18.440871750958959</c:v>
                </c:pt>
                <c:pt idx="42" formatCode="0.00">
                  <c:v>20.555876965754159</c:v>
                </c:pt>
                <c:pt idx="43" formatCode="0.00">
                  <c:v>18.71590211810426</c:v>
                </c:pt>
                <c:pt idx="44" formatCode="0.00">
                  <c:v>16.047199545884588</c:v>
                </c:pt>
                <c:pt idx="45" formatCode="0.00">
                  <c:v>12.153227089357703</c:v>
                </c:pt>
                <c:pt idx="46" formatCode="0.00">
                  <c:v>14.069404036223386</c:v>
                </c:pt>
                <c:pt idx="47" formatCode="0.00">
                  <c:v>13.787684062967148</c:v>
                </c:pt>
                <c:pt idx="48" formatCode="0.00">
                  <c:v>10.397715008356926</c:v>
                </c:pt>
                <c:pt idx="49" formatCode="0.00">
                  <c:v>9.4199177484391807</c:v>
                </c:pt>
                <c:pt idx="50" formatCode="0.00">
                  <c:v>14.217146835777589</c:v>
                </c:pt>
                <c:pt idx="51" formatCode="0.00">
                  <c:v>12.981352080082168</c:v>
                </c:pt>
                <c:pt idx="52" formatCode="0.00">
                  <c:v>16.268547663490022</c:v>
                </c:pt>
                <c:pt idx="53" formatCode="0.00">
                  <c:v>18.26830397205897</c:v>
                </c:pt>
                <c:pt idx="54" formatCode="0.00">
                  <c:v>20.398503766637994</c:v>
                </c:pt>
                <c:pt idx="55" formatCode="0.00">
                  <c:v>18.572140076867576</c:v>
                </c:pt>
                <c:pt idx="56" formatCode="0.00">
                  <c:v>15.915726432514424</c:v>
                </c:pt>
                <c:pt idx="57" formatCode="0.00">
                  <c:v>12.032923687551346</c:v>
                </c:pt>
                <c:pt idx="58" formatCode="0.00">
                  <c:v>13.959311993248342</c:v>
                </c:pt>
                <c:pt idx="59" formatCode="0.00">
                  <c:v>13.686974589504427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74-4066-9621-48224B07AACF}"/>
            </c:ext>
          </c:extLst>
        </c:ser>
        <c:ser>
          <c:idx val="3"/>
          <c:order val="3"/>
          <c:tx>
            <c:strRef>
              <c:f>Лист5!$E$1</c:f>
              <c:strCache>
                <c:ptCount val="1"/>
                <c:pt idx="0">
                  <c:v>Привязка высокой вероятности(sales)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Лист5!$A$2:$A$61</c:f>
              <c:numCache>
                <c:formatCode>m/d/yy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Лист5!$E$2:$E$61</c:f>
              <c:numCache>
                <c:formatCode>General</c:formatCode>
                <c:ptCount val="60"/>
                <c:pt idx="35" formatCode="0.00">
                  <c:v>14.692307692307692</c:v>
                </c:pt>
                <c:pt idx="36" formatCode="0.00">
                  <c:v>11.862214570138384</c:v>
                </c:pt>
                <c:pt idx="37" formatCode="0.00">
                  <c:v>10.991970357977095</c:v>
                </c:pt>
                <c:pt idx="38" formatCode="0.00">
                  <c:v>15.889266425768996</c:v>
                </c:pt>
                <c:pt idx="39" formatCode="0.00">
                  <c:v>14.74772427897534</c:v>
                </c:pt>
                <c:pt idx="40" formatCode="0.00">
                  <c:v>18.124465189891978</c:v>
                </c:pt>
                <c:pt idx="41" formatCode="0.00">
                  <c:v>20.209841356455488</c:v>
                </c:pt>
                <c:pt idx="42" formatCode="0.00">
                  <c:v>22.422314235958538</c:v>
                </c:pt>
                <c:pt idx="43" formatCode="0.00">
                  <c:v>20.675320871259004</c:v>
                </c:pt>
                <c:pt idx="44" formatCode="0.00">
                  <c:v>18.095725240605624</c:v>
                </c:pt>
                <c:pt idx="45" formatCode="0.00">
                  <c:v>14.287471184044058</c:v>
                </c:pt>
                <c:pt idx="46" formatCode="0.00">
                  <c:v>16.286371696896531</c:v>
                </c:pt>
                <c:pt idx="47" formatCode="0.00">
                  <c:v>16.084704641276243</c:v>
                </c:pt>
                <c:pt idx="48" formatCode="0.00">
                  <c:v>12.772686605783463</c:v>
                </c:pt>
                <c:pt idx="49" formatCode="0.00">
                  <c:v>11.870361920419038</c:v>
                </c:pt>
                <c:pt idx="50" formatCode="0.00">
                  <c:v>16.741088522536984</c:v>
                </c:pt>
                <c:pt idx="51" formatCode="0.00">
                  <c:v>15.576984534810766</c:v>
                </c:pt>
                <c:pt idx="52" formatCode="0.00">
                  <c:v>18.934210433340677</c:v>
                </c:pt>
                <c:pt idx="53" formatCode="0.00">
                  <c:v>21.002464699354729</c:v>
                </c:pt>
                <c:pt idx="54" formatCode="0.00">
                  <c:v>23.199742999073955</c:v>
                </c:pt>
                <c:pt idx="55" formatCode="0.00">
                  <c:v>21.439138476494939</c:v>
                </c:pt>
                <c:pt idx="56" formatCode="0.00">
                  <c:v>18.847253917975049</c:v>
                </c:pt>
                <c:pt idx="57" formatCode="0.00">
                  <c:v>15.02783014984967</c:v>
                </c:pt>
                <c:pt idx="58" formatCode="0.00">
                  <c:v>17.016519303870833</c:v>
                </c:pt>
                <c:pt idx="59" formatCode="0.00">
                  <c:v>16.80546967873822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74-4066-9621-48224B07A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7193392"/>
        <c:axId val="1787187152"/>
      </c:lineChart>
      <c:catAx>
        <c:axId val="178719339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7187152"/>
        <c:crosses val="autoZero"/>
        <c:auto val="1"/>
        <c:lblAlgn val="ctr"/>
        <c:lblOffset val="100"/>
        <c:noMultiLvlLbl val="0"/>
      </c:catAx>
      <c:valAx>
        <c:axId val="178718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8719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'Сводная '!$G$5:$G$16</c:f>
              <c:numCache>
                <c:formatCode>General</c:formatCode>
                <c:ptCount val="12"/>
                <c:pt idx="0">
                  <c:v>0.79717419594720207</c:v>
                </c:pt>
                <c:pt idx="1">
                  <c:v>0.58895705521472397</c:v>
                </c:pt>
                <c:pt idx="2">
                  <c:v>0.91020635805911887</c:v>
                </c:pt>
                <c:pt idx="3">
                  <c:v>0.8745119910764082</c:v>
                </c:pt>
                <c:pt idx="4">
                  <c:v>0.89235917456776359</c:v>
                </c:pt>
                <c:pt idx="5">
                  <c:v>1.1838631715932331</c:v>
                </c:pt>
                <c:pt idx="6">
                  <c:v>1.3504368841792154</c:v>
                </c:pt>
                <c:pt idx="7">
                  <c:v>1.2671500278862244</c:v>
                </c:pt>
                <c:pt idx="8">
                  <c:v>1.0589328871537464</c:v>
                </c:pt>
                <c:pt idx="9">
                  <c:v>0.91912994980479656</c:v>
                </c:pt>
                <c:pt idx="10">
                  <c:v>0.95184978620561456</c:v>
                </c:pt>
                <c:pt idx="11">
                  <c:v>0.99944227551589526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32-B34F-AC9B-3516C8159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3880192"/>
        <c:axId val="1793313855"/>
      </c:lineChart>
      <c:catAx>
        <c:axId val="703880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93313855"/>
        <c:crosses val="autoZero"/>
        <c:auto val="1"/>
        <c:lblAlgn val="ctr"/>
        <c:lblOffset val="100"/>
        <c:noMultiLvlLbl val="0"/>
      </c:catAx>
      <c:valAx>
        <c:axId val="179331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388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фактических данных с прогнозируемыми</a:t>
            </a:r>
            <a:endParaRPr lang="ru-RU"/>
          </a:p>
        </c:rich>
      </c:tx>
      <c:layout>
        <c:manualLayout>
          <c:xMode val="edge"/>
          <c:yMode val="edge"/>
          <c:x val="0.41275175854665613"/>
          <c:y val="1.435079675171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'Ручной прогноз'!$C$1</c:f>
              <c:strCache>
                <c:ptCount val="1"/>
                <c:pt idx="0">
                  <c:v>Yt (факт)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'Ручной прогноз'!$A$2:$A$64</c:f>
              <c:numCache>
                <c:formatCode>mmm\-yy</c:formatCode>
                <c:ptCount val="6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'Ручной прогноз'!$C$2:$C$64</c:f>
              <c:numCache>
                <c:formatCode>General</c:formatCode>
                <c:ptCount val="63"/>
                <c:pt idx="0">
                  <c:v>38</c:v>
                </c:pt>
                <c:pt idx="1">
                  <c:v>22</c:v>
                </c:pt>
                <c:pt idx="2">
                  <c:v>48</c:v>
                </c:pt>
                <c:pt idx="3">
                  <c:v>31</c:v>
                </c:pt>
                <c:pt idx="4">
                  <c:v>47</c:v>
                </c:pt>
                <c:pt idx="5">
                  <c:v>66</c:v>
                </c:pt>
                <c:pt idx="6">
                  <c:v>73</c:v>
                </c:pt>
                <c:pt idx="7">
                  <c:v>69</c:v>
                </c:pt>
                <c:pt idx="8">
                  <c:v>60</c:v>
                </c:pt>
                <c:pt idx="9">
                  <c:v>33</c:v>
                </c:pt>
                <c:pt idx="10">
                  <c:v>50</c:v>
                </c:pt>
                <c:pt idx="11">
                  <c:v>36</c:v>
                </c:pt>
                <c:pt idx="12">
                  <c:v>47</c:v>
                </c:pt>
                <c:pt idx="13">
                  <c:v>21</c:v>
                </c:pt>
                <c:pt idx="14">
                  <c:v>52</c:v>
                </c:pt>
                <c:pt idx="15">
                  <c:v>34</c:v>
                </c:pt>
                <c:pt idx="16">
                  <c:v>53</c:v>
                </c:pt>
                <c:pt idx="17">
                  <c:v>66</c:v>
                </c:pt>
                <c:pt idx="18">
                  <c:v>78</c:v>
                </c:pt>
                <c:pt idx="19">
                  <c:v>72</c:v>
                </c:pt>
                <c:pt idx="20">
                  <c:v>59</c:v>
                </c:pt>
                <c:pt idx="21">
                  <c:v>34</c:v>
                </c:pt>
                <c:pt idx="22">
                  <c:v>56</c:v>
                </c:pt>
                <c:pt idx="23">
                  <c:v>36</c:v>
                </c:pt>
                <c:pt idx="24">
                  <c:v>49</c:v>
                </c:pt>
                <c:pt idx="25">
                  <c:v>23</c:v>
                </c:pt>
                <c:pt idx="26">
                  <c:v>53</c:v>
                </c:pt>
                <c:pt idx="27">
                  <c:v>33</c:v>
                </c:pt>
                <c:pt idx="28">
                  <c:v>50</c:v>
                </c:pt>
                <c:pt idx="29">
                  <c:v>67</c:v>
                </c:pt>
                <c:pt idx="30">
                  <c:v>76</c:v>
                </c:pt>
                <c:pt idx="31">
                  <c:v>72</c:v>
                </c:pt>
                <c:pt idx="32">
                  <c:v>59</c:v>
                </c:pt>
                <c:pt idx="33">
                  <c:v>36</c:v>
                </c:pt>
                <c:pt idx="34">
                  <c:v>54</c:v>
                </c:pt>
                <c:pt idx="35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B8-DA45-AEEE-DAE921E5B1CC}"/>
            </c:ext>
          </c:extLst>
        </c:ser>
        <c:ser>
          <c:idx val="1"/>
          <c:order val="1"/>
          <c:tx>
            <c:strRef>
              <c:f>'Ручной прогноз'!$G$1</c:f>
              <c:strCache>
                <c:ptCount val="1"/>
                <c:pt idx="0">
                  <c:v>Прогноз (Ŷt)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'Ручной прогноз'!$A$2:$A$64</c:f>
              <c:numCache>
                <c:formatCode>mmm\-yy</c:formatCode>
                <c:ptCount val="6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'Ручной прогноз'!$G$2:$G$64</c:f>
              <c:numCache>
                <c:formatCode>General</c:formatCode>
                <c:ptCount val="63"/>
                <c:pt idx="0">
                  <c:v>38</c:v>
                </c:pt>
                <c:pt idx="1">
                  <c:v>22</c:v>
                </c:pt>
                <c:pt idx="2">
                  <c:v>48</c:v>
                </c:pt>
                <c:pt idx="3">
                  <c:v>31</c:v>
                </c:pt>
                <c:pt idx="4">
                  <c:v>47</c:v>
                </c:pt>
                <c:pt idx="5">
                  <c:v>66</c:v>
                </c:pt>
                <c:pt idx="6">
                  <c:v>73</c:v>
                </c:pt>
                <c:pt idx="7">
                  <c:v>69</c:v>
                </c:pt>
                <c:pt idx="8">
                  <c:v>60</c:v>
                </c:pt>
                <c:pt idx="9">
                  <c:v>33</c:v>
                </c:pt>
                <c:pt idx="10">
                  <c:v>50</c:v>
                </c:pt>
                <c:pt idx="11">
                  <c:v>36</c:v>
                </c:pt>
                <c:pt idx="12" formatCode="0">
                  <c:v>2.316503174710506</c:v>
                </c:pt>
                <c:pt idx="13" formatCode="0">
                  <c:v>24.140549524621598</c:v>
                </c:pt>
                <c:pt idx="14" formatCode="0">
                  <c:v>51.061205071761314</c:v>
                </c:pt>
                <c:pt idx="15" formatCode="0">
                  <c:v>36.025127614008746</c:v>
                </c:pt>
                <c:pt idx="16" formatCode="0">
                  <c:v>55.791365149168591</c:v>
                </c:pt>
                <c:pt idx="17" formatCode="0">
                  <c:v>79.991818186942268</c:v>
                </c:pt>
                <c:pt idx="18" formatCode="0">
                  <c:v>80.113015155458726</c:v>
                </c:pt>
                <c:pt idx="19" formatCode="0">
                  <c:v>77.796338982619432</c:v>
                </c:pt>
                <c:pt idx="20" formatCode="0">
                  <c:v>66.395496422454997</c:v>
                </c:pt>
                <c:pt idx="21" formatCode="0">
                  <c:v>34.461899767580142</c:v>
                </c:pt>
                <c:pt idx="22" formatCode="0">
                  <c:v>53.429176452319282</c:v>
                </c:pt>
                <c:pt idx="23" formatCode="0">
                  <c:v>41.381932214042152</c:v>
                </c:pt>
                <c:pt idx="24" formatCode="0">
                  <c:v>49.449531602118071</c:v>
                </c:pt>
                <c:pt idx="25" formatCode="0">
                  <c:v>23.000000283942875</c:v>
                </c:pt>
                <c:pt idx="26" formatCode="0">
                  <c:v>53.142174316509688</c:v>
                </c:pt>
                <c:pt idx="27" formatCode="0">
                  <c:v>34.544963228732662</c:v>
                </c:pt>
                <c:pt idx="28" formatCode="0">
                  <c:v>51.613344982778315</c:v>
                </c:pt>
                <c:pt idx="29" formatCode="0">
                  <c:v>69.78200661017317</c:v>
                </c:pt>
                <c:pt idx="30" formatCode="0">
                  <c:v>78.607443141535185</c:v>
                </c:pt>
                <c:pt idx="31" formatCode="0">
                  <c:v>72.481633613753544</c:v>
                </c:pt>
                <c:pt idx="32" formatCode="0">
                  <c:v>62.901161394284742</c:v>
                </c:pt>
                <c:pt idx="33" formatCode="0">
                  <c:v>33.842817969187507</c:v>
                </c:pt>
                <c:pt idx="34" formatCode="0">
                  <c:v>55.182030438319281</c:v>
                </c:pt>
                <c:pt idx="35" formatCode="0">
                  <c:v>37.965146425849156</c:v>
                </c:pt>
                <c:pt idx="36" formatCode="0">
                  <c:v>53.599452588354502</c:v>
                </c:pt>
                <c:pt idx="37" formatCode="0">
                  <c:v>19.367384973935653</c:v>
                </c:pt>
                <c:pt idx="38" formatCode="0">
                  <c:v>50.484203550867875</c:v>
                </c:pt>
                <c:pt idx="39" formatCode="0">
                  <c:v>33.48951321108337</c:v>
                </c:pt>
                <c:pt idx="40" formatCode="0">
                  <c:v>52.879556340124708</c:v>
                </c:pt>
                <c:pt idx="41" formatCode="0">
                  <c:v>71.183233920524344</c:v>
                </c:pt>
                <c:pt idx="42" formatCode="0">
                  <c:v>81.066666299114033</c:v>
                </c:pt>
                <c:pt idx="43" formatCode="0">
                  <c:v>74.812967066779109</c:v>
                </c:pt>
                <c:pt idx="44" formatCode="0">
                  <c:v>62.356253987524411</c:v>
                </c:pt>
                <c:pt idx="45" formatCode="0">
                  <c:v>36.32770057654011</c:v>
                </c:pt>
                <c:pt idx="46" formatCode="0">
                  <c:v>51.705049672337346</c:v>
                </c:pt>
                <c:pt idx="47" formatCode="0">
                  <c:v>38.451442151992531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B8-DA45-AEEE-DAE921E5B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985919"/>
        <c:axId val="1810114175"/>
      </c:lineChart>
      <c:dateAx>
        <c:axId val="191498591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0114175"/>
        <c:crosses val="autoZero"/>
        <c:auto val="1"/>
        <c:lblOffset val="100"/>
        <c:baseTimeUnit val="months"/>
      </c:dateAx>
      <c:valAx>
        <c:axId val="181011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14985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254000</xdr:colOff>
      <xdr:row>10</xdr:row>
      <xdr:rowOff>88900</xdr:rowOff>
    </xdr:from>
    <xdr:to>
      <xdr:col>19</xdr:col>
      <xdr:colOff>609600</xdr:colOff>
      <xdr:row>24</xdr:row>
      <xdr:rowOff>165100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75C6096-1036-4B46-3A68-303F4717A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29633</xdr:colOff>
      <xdr:row>20</xdr:row>
      <xdr:rowOff>67734</xdr:rowOff>
    </xdr:from>
    <xdr:to>
      <xdr:col>20</xdr:col>
      <xdr:colOff>946511</xdr:colOff>
      <xdr:row>34</xdr:row>
      <xdr:rowOff>139700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353D792-B4B8-2143-B8D7-CC6CE6EBE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63502</xdr:colOff>
      <xdr:row>5</xdr:row>
      <xdr:rowOff>114299</xdr:rowOff>
    </xdr:from>
    <xdr:to>
      <xdr:col>14</xdr:col>
      <xdr:colOff>647702</xdr:colOff>
      <xdr:row>19</xdr:row>
      <xdr:rowOff>173566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hoe_model">
              <a:extLst>
                <a:ext uri="{FF2B5EF4-FFF2-40B4-BE49-F238E27FC236}">
                  <a16:creationId xmlns:a16="http://schemas.microsoft.com/office/drawing/2014/main" id="{88ABED70-7818-34F8-FD58-58D9D96EF1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oe_mod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99502" y="1066799"/>
              <a:ext cx="2235200" cy="27262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21</xdr:col>
      <xdr:colOff>11503</xdr:colOff>
      <xdr:row>16</xdr:row>
      <xdr:rowOff>19650</xdr:rowOff>
    </xdr:from>
    <xdr:to>
      <xdr:col>25</xdr:col>
      <xdr:colOff>19889</xdr:colOff>
      <xdr:row>30</xdr:row>
      <xdr:rowOff>79076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1E970E0-8F49-BD43-A155-700B84A8C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1931193</xdr:colOff>
      <xdr:row>8</xdr:row>
      <xdr:rowOff>152400</xdr:rowOff>
    </xdr:from>
    <xdr:to>
      <xdr:col>18</xdr:col>
      <xdr:colOff>621505</xdr:colOff>
      <xdr:row>41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241478A-ACCC-4F88-34FE-FDC5438212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498231</xdr:colOff>
      <xdr:row>18</xdr:row>
      <xdr:rowOff>24004</xdr:rowOff>
    </xdr:from>
    <xdr:to>
      <xdr:col>6</xdr:col>
      <xdr:colOff>18143</xdr:colOff>
      <xdr:row>32</xdr:row>
      <xdr:rowOff>31820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F4B3567-8B5D-1E0D-6932-103AA092A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1290333</xdr:colOff>
      <xdr:row>8</xdr:row>
      <xdr:rowOff>173540</xdr:rowOff>
    </xdr:from>
    <xdr:to>
      <xdr:col>22</xdr:col>
      <xdr:colOff>570667</xdr:colOff>
      <xdr:row>40</xdr:row>
      <xdr:rowOff>54779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CE346B4-8349-4023-0DB3-809FC21BE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34.679910995372" createdVersion="8" refreshedVersion="8" minRefreshableVersion="3" recordCount="447" xr:uid="{FC4D126E-8B02-8B41-A2FE-435BD8509ED6}">
  <cacheSource type="worksheet">
    <worksheetSource name="sales__2"/>
  </cacheSource>
  <cacheFields count="15">
    <cacheField name="Shoe_model" numFmtId="0">
      <sharedItems count="6">
        <s v="Doe Runner"/>
        <s v="Doe Trek"/>
        <s v="Doe Canvas"/>
        <s v="Doe Vintage"/>
        <s v="Doe Slip-On"/>
        <s v="Doe Air"/>
      </sharedItems>
    </cacheField>
    <cacheField name="Shoe _Type" numFmtId="0">
      <sharedItems/>
    </cacheField>
    <cacheField name="Gender" numFmtId="0">
      <sharedItems/>
    </cacheField>
    <cacheField name="Cost" numFmtId="0">
      <sharedItems containsSemiMixedTypes="0" containsString="0" containsNumber="1" containsInteger="1" minValue="15" maxValue="48"/>
    </cacheField>
    <cacheField name="Column2" numFmtId="0">
      <sharedItems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MixedTypes="1" containsNumber="1" containsInteger="1" minValue="2" maxValue="30" count="30">
        <n v="7"/>
        <n v="8"/>
        <n v="12"/>
        <n v="3"/>
        <n v="18"/>
        <n v="15"/>
        <n v="20"/>
        <n v="10"/>
        <n v="6"/>
        <n v="11"/>
        <n v="2"/>
        <n v="16"/>
        <n v="5"/>
        <n v="13"/>
        <n v="14"/>
        <n v="9"/>
        <n v="4"/>
        <n v="23"/>
        <n v="25"/>
        <n v="17"/>
        <n v="22"/>
        <n v="26"/>
        <n v="27"/>
        <n v="30"/>
        <n v="28"/>
        <n v="19"/>
        <n v="21"/>
        <n v="24"/>
        <n v="29"/>
        <s v="23+H268"/>
      </sharedItems>
    </cacheField>
    <cacheField name="revenue" numFmtId="0">
      <sharedItems containsSemiMixedTypes="0" containsString="0" containsNumber="1" containsInteger="1" minValue="104" maxValue="660"/>
    </cacheField>
    <cacheField name="stock" numFmtId="0">
      <sharedItems containsSemiMixedTypes="0" containsString="0" containsNumber="1" containsInteger="1" minValue="6" maxValue="60"/>
    </cacheField>
    <cacheField name="price" numFmtId="0">
      <sharedItems containsSemiMixedTypes="0" containsString="0" containsNumber="1" containsInteger="1" minValue="16" maxValue="59"/>
    </cacheField>
    <cacheField name="Date" numFmtId="14">
      <sharedItems containsSemiMixedTypes="0" containsNonDate="0" containsDate="1" containsString="0" minDate="2022-01-01T00:00:00" maxDate="2024-12-02T00:00:00" count="36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  <fieldGroup par="14"/>
    </cacheField>
    <cacheField name="Месяцы (Date)" numFmtId="0" databaseField="0">
      <fieldGroup base="11">
        <rangePr groupBy="months" startDate="2022-01-01T00:00:00" endDate="2024-12-02T00:00:00"/>
        <groupItems count="14">
          <s v="&lt;01.01.2022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02.12.2024"/>
        </groupItems>
      </fieldGroup>
    </cacheField>
    <cacheField name="Кварталы (Date)" numFmtId="0" databaseField="0">
      <fieldGroup base="11">
        <rangePr groupBy="quarters" startDate="2022-01-01T00:00:00" endDate="2024-12-02T00:00:00"/>
        <groupItems count="6">
          <s v="&lt;01.01.2022"/>
          <s v="Кв-л1"/>
          <s v="Кв-л2"/>
          <s v="Кв-л3"/>
          <s v="Кв-л4"/>
          <s v="&gt;02.12.2024"/>
        </groupItems>
      </fieldGroup>
    </cacheField>
    <cacheField name="Годы (Date)" numFmtId="0" databaseField="0">
      <fieldGroup base="11">
        <rangePr groupBy="years" startDate="2022-01-01T00:00:00" endDate="2024-12-02T00:00:00"/>
        <groupItems count="5">
          <s v="&lt;01.01.2022"/>
          <s v="2022"/>
          <s v="2023"/>
          <s v="2024"/>
          <s v="&gt;02.12.2024"/>
        </groupItems>
      </fieldGroup>
    </cacheField>
  </cacheFields>
  <extLst>
    <ext xmlns:x14="http://schemas.microsoft.com/office/spreadsheetml/2009/9/main" uri="{725AE2AE-9491-48be-B2B4-4EB974FC3084}">
      <x14:pivotCacheDefinition pivotCacheId="10001244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7">
  <r>
    <x v="0"/>
    <s v="Running"/>
    <s v="F"/>
    <n v="28"/>
    <s v="Istanbul"/>
    <x v="0"/>
    <x v="0"/>
    <x v="0"/>
    <n v="310"/>
    <n v="20"/>
    <n v="31"/>
    <x v="0"/>
  </r>
  <r>
    <x v="1"/>
    <s v="Hiking"/>
    <s v="F"/>
    <n v="32"/>
    <s v="Istanbul"/>
    <x v="0"/>
    <x v="0"/>
    <x v="1"/>
    <n v="272"/>
    <n v="18"/>
    <n v="34"/>
    <x v="0"/>
  </r>
  <r>
    <x v="2"/>
    <s v="Casual"/>
    <s v="F"/>
    <n v="18"/>
    <s v="Istanbul"/>
    <x v="0"/>
    <x v="0"/>
    <x v="2"/>
    <n v="247"/>
    <n v="25"/>
    <n v="19"/>
    <x v="0"/>
  </r>
  <r>
    <x v="3"/>
    <s v="Limited"/>
    <s v="F"/>
    <n v="45"/>
    <s v="Istanbul"/>
    <x v="0"/>
    <x v="0"/>
    <x v="3"/>
    <n v="144"/>
    <n v="8"/>
    <n v="48"/>
    <x v="0"/>
  </r>
  <r>
    <x v="4"/>
    <s v="Casual"/>
    <s v="F"/>
    <n v="15"/>
    <s v="Istanbul"/>
    <x v="0"/>
    <x v="0"/>
    <x v="4"/>
    <n v="288"/>
    <n v="35"/>
    <n v="16"/>
    <x v="0"/>
  </r>
  <r>
    <x v="0"/>
    <s v="Running"/>
    <s v="F"/>
    <n v="28"/>
    <s v="Ankara"/>
    <x v="0"/>
    <x v="0"/>
    <x v="0"/>
    <n v="217"/>
    <n v="15"/>
    <n v="31"/>
    <x v="0"/>
  </r>
  <r>
    <x v="0"/>
    <s v="Running"/>
    <s v="F"/>
    <n v="28"/>
    <s v="Izmir"/>
    <x v="0"/>
    <x v="0"/>
    <x v="1"/>
    <n v="248"/>
    <n v="18"/>
    <n v="31"/>
    <x v="0"/>
  </r>
  <r>
    <x v="2"/>
    <s v="Casual"/>
    <s v="F"/>
    <n v="18"/>
    <s v="Izmir"/>
    <x v="0"/>
    <x v="0"/>
    <x v="5"/>
    <n v="285"/>
    <n v="30"/>
    <n v="19"/>
    <x v="0"/>
  </r>
  <r>
    <x v="4"/>
    <s v="Casual"/>
    <s v="F"/>
    <n v="15"/>
    <s v="Izmir"/>
    <x v="0"/>
    <x v="0"/>
    <x v="6"/>
    <n v="320"/>
    <n v="40"/>
    <n v="16"/>
    <x v="0"/>
  </r>
  <r>
    <x v="0"/>
    <s v="Running"/>
    <s v="F"/>
    <n v="30"/>
    <s v="Istanbul"/>
    <x v="0"/>
    <x v="0"/>
    <x v="7"/>
    <n v="320"/>
    <n v="22"/>
    <n v="32"/>
    <x v="0"/>
  </r>
  <r>
    <x v="1"/>
    <s v="Hiking"/>
    <s v="M"/>
    <n v="35"/>
    <s v="Istanbul"/>
    <x v="0"/>
    <x v="0"/>
    <x v="8"/>
    <n v="222"/>
    <n v="15"/>
    <n v="37"/>
    <x v="0"/>
  </r>
  <r>
    <x v="2"/>
    <s v="Casual"/>
    <s v="M"/>
    <n v="20"/>
    <s v="Istanbul"/>
    <x v="0"/>
    <x v="0"/>
    <x v="9"/>
    <n v="252"/>
    <n v="25"/>
    <n v="21"/>
    <x v="0"/>
  </r>
  <r>
    <x v="3"/>
    <s v="Limited"/>
    <s v="M"/>
    <n v="48"/>
    <s v="Istanbul"/>
    <x v="0"/>
    <x v="0"/>
    <x v="10"/>
    <n v="104"/>
    <n v="6"/>
    <n v="52"/>
    <x v="0"/>
  </r>
  <r>
    <x v="4"/>
    <s v="Casual"/>
    <s v="M"/>
    <n v="17"/>
    <s v="Istanbul"/>
    <x v="0"/>
    <x v="0"/>
    <x v="5"/>
    <n v="270"/>
    <n v="30"/>
    <n v="18"/>
    <x v="0"/>
  </r>
  <r>
    <x v="5"/>
    <s v="Running"/>
    <s v="M"/>
    <n v="33"/>
    <s v="Istanbul"/>
    <x v="0"/>
    <x v="0"/>
    <x v="0"/>
    <n v="252"/>
    <n v="16"/>
    <n v="36"/>
    <x v="0"/>
  </r>
  <r>
    <x v="0"/>
    <s v="Running"/>
    <s v="F"/>
    <n v="28"/>
    <s v="Istanbul"/>
    <x v="1"/>
    <x v="0"/>
    <x v="1"/>
    <n v="248"/>
    <n v="18"/>
    <n v="31"/>
    <x v="1"/>
  </r>
  <r>
    <x v="0"/>
    <s v="Running"/>
    <s v="F"/>
    <n v="28"/>
    <s v="Izmir"/>
    <x v="1"/>
    <x v="0"/>
    <x v="0"/>
    <n v="217"/>
    <n v="15"/>
    <n v="31"/>
    <x v="1"/>
  </r>
  <r>
    <x v="1"/>
    <s v="Hiking"/>
    <s v="F"/>
    <n v="32"/>
    <s v="Istanbul"/>
    <x v="1"/>
    <x v="0"/>
    <x v="8"/>
    <n v="204"/>
    <n v="15"/>
    <n v="34"/>
    <x v="1"/>
  </r>
  <r>
    <x v="2"/>
    <s v="Casual"/>
    <s v="F"/>
    <n v="18"/>
    <s v="Istanbul"/>
    <x v="1"/>
    <x v="0"/>
    <x v="2"/>
    <n v="209"/>
    <n v="22"/>
    <n v="19"/>
    <x v="1"/>
  </r>
  <r>
    <x v="4"/>
    <s v="Casual"/>
    <s v="F"/>
    <n v="15"/>
    <s v="Istanbul"/>
    <x v="1"/>
    <x v="0"/>
    <x v="11"/>
    <n v="256"/>
    <n v="30"/>
    <n v="16"/>
    <x v="1"/>
  </r>
  <r>
    <x v="0"/>
    <s v="Running"/>
    <s v="F"/>
    <n v="30"/>
    <s v="Istanbul"/>
    <x v="1"/>
    <x v="0"/>
    <x v="1"/>
    <n v="256"/>
    <n v="18"/>
    <n v="32"/>
    <x v="1"/>
  </r>
  <r>
    <x v="1"/>
    <s v="Hiking"/>
    <s v="M"/>
    <n v="35"/>
    <s v="Istanbul"/>
    <x v="1"/>
    <x v="0"/>
    <x v="12"/>
    <n v="185"/>
    <n v="12"/>
    <n v="37"/>
    <x v="1"/>
  </r>
  <r>
    <x v="2"/>
    <s v="Casual"/>
    <s v="M"/>
    <n v="20"/>
    <s v="Istanbul"/>
    <x v="1"/>
    <x v="0"/>
    <x v="7"/>
    <n v="210"/>
    <n v="20"/>
    <n v="21"/>
    <x v="1"/>
  </r>
  <r>
    <x v="4"/>
    <s v="Casual"/>
    <s v="M"/>
    <n v="17"/>
    <s v="Istanbul"/>
    <x v="1"/>
    <x v="0"/>
    <x v="13"/>
    <n v="234"/>
    <n v="25"/>
    <n v="18"/>
    <x v="1"/>
  </r>
  <r>
    <x v="5"/>
    <s v="Running"/>
    <s v="M"/>
    <n v="33"/>
    <s v="Istanbul"/>
    <x v="1"/>
    <x v="0"/>
    <x v="8"/>
    <n v="216"/>
    <n v="15"/>
    <n v="36"/>
    <x v="1"/>
  </r>
  <r>
    <x v="0"/>
    <s v="Running"/>
    <s v="F"/>
    <n v="28"/>
    <s v="Istanbul"/>
    <x v="2"/>
    <x v="0"/>
    <x v="2"/>
    <n v="372"/>
    <n v="25"/>
    <n v="31"/>
    <x v="2"/>
  </r>
  <r>
    <x v="0"/>
    <s v="Running"/>
    <s v="F"/>
    <n v="28"/>
    <s v="Antalya"/>
    <x v="2"/>
    <x v="0"/>
    <x v="1"/>
    <n v="248"/>
    <n v="18"/>
    <n v="31"/>
    <x v="2"/>
  </r>
  <r>
    <x v="1"/>
    <s v="Hiking"/>
    <s v="F"/>
    <n v="32"/>
    <s v="Istanbul"/>
    <x v="2"/>
    <x v="0"/>
    <x v="0"/>
    <n v="238"/>
    <n v="16"/>
    <n v="34"/>
    <x v="2"/>
  </r>
  <r>
    <x v="2"/>
    <s v="Casual"/>
    <s v="F"/>
    <n v="18"/>
    <s v="Istanbul"/>
    <x v="2"/>
    <x v="0"/>
    <x v="5"/>
    <n v="285"/>
    <n v="30"/>
    <n v="19"/>
    <x v="2"/>
  </r>
  <r>
    <x v="2"/>
    <s v="Casual"/>
    <s v="F"/>
    <n v="18"/>
    <s v="Izmir"/>
    <x v="2"/>
    <x v="0"/>
    <x v="4"/>
    <n v="342"/>
    <n v="35"/>
    <n v="19"/>
    <x v="2"/>
  </r>
  <r>
    <x v="4"/>
    <s v="Casual"/>
    <s v="F"/>
    <n v="15"/>
    <s v="Istanbul"/>
    <x v="2"/>
    <x v="0"/>
    <x v="6"/>
    <n v="320"/>
    <n v="40"/>
    <n v="16"/>
    <x v="2"/>
  </r>
  <r>
    <x v="4"/>
    <s v="Casual"/>
    <s v="F"/>
    <n v="15"/>
    <s v="Antalya"/>
    <x v="2"/>
    <x v="0"/>
    <x v="11"/>
    <n v="256"/>
    <n v="30"/>
    <n v="16"/>
    <x v="2"/>
  </r>
  <r>
    <x v="0"/>
    <s v="Running"/>
    <s v="F"/>
    <n v="30"/>
    <s v="Istanbul"/>
    <x v="2"/>
    <x v="0"/>
    <x v="9"/>
    <n v="352"/>
    <n v="25"/>
    <n v="32"/>
    <x v="2"/>
  </r>
  <r>
    <x v="2"/>
    <s v="Casual"/>
    <s v="M"/>
    <n v="20"/>
    <s v="Istanbul"/>
    <x v="2"/>
    <x v="0"/>
    <x v="5"/>
    <n v="294"/>
    <n v="30"/>
    <n v="21"/>
    <x v="2"/>
  </r>
  <r>
    <x v="4"/>
    <s v="Casual"/>
    <s v="M"/>
    <n v="17"/>
    <s v="Istanbul"/>
    <x v="2"/>
    <x v="0"/>
    <x v="11"/>
    <n v="288"/>
    <n v="30"/>
    <n v="18"/>
    <x v="2"/>
  </r>
  <r>
    <x v="5"/>
    <s v="Running"/>
    <s v="M"/>
    <n v="33"/>
    <s v="Istanbul"/>
    <x v="2"/>
    <x v="0"/>
    <x v="1"/>
    <n v="288"/>
    <n v="18"/>
    <n v="36"/>
    <x v="2"/>
  </r>
  <r>
    <x v="0"/>
    <s v="Running"/>
    <s v="F"/>
    <n v="28"/>
    <s v="Istanbul"/>
    <x v="3"/>
    <x v="0"/>
    <x v="14"/>
    <n v="434"/>
    <n v="30"/>
    <n v="31"/>
    <x v="3"/>
  </r>
  <r>
    <x v="0"/>
    <s v="Running"/>
    <s v="F"/>
    <n v="28"/>
    <s v="Izmir"/>
    <x v="3"/>
    <x v="0"/>
    <x v="7"/>
    <n v="310"/>
    <n v="20"/>
    <n v="31"/>
    <x v="3"/>
  </r>
  <r>
    <x v="1"/>
    <s v="Hiking"/>
    <s v="F"/>
    <n v="32"/>
    <s v="Istanbul"/>
    <x v="3"/>
    <x v="0"/>
    <x v="15"/>
    <n v="306"/>
    <n v="20"/>
    <n v="34"/>
    <x v="3"/>
  </r>
  <r>
    <x v="2"/>
    <s v="Casual"/>
    <s v="F"/>
    <n v="18"/>
    <s v="Istanbul"/>
    <x v="3"/>
    <x v="0"/>
    <x v="11"/>
    <n v="304"/>
    <n v="35"/>
    <n v="19"/>
    <x v="3"/>
  </r>
  <r>
    <x v="3"/>
    <s v="Limited"/>
    <s v="F"/>
    <n v="45"/>
    <s v="Istanbul"/>
    <x v="3"/>
    <x v="0"/>
    <x v="16"/>
    <n v="192"/>
    <n v="10"/>
    <n v="48"/>
    <x v="3"/>
  </r>
  <r>
    <x v="4"/>
    <s v="Casual"/>
    <s v="F"/>
    <n v="15"/>
    <s v="Istanbul"/>
    <x v="3"/>
    <x v="0"/>
    <x v="17"/>
    <n v="368"/>
    <n v="45"/>
    <n v="16"/>
    <x v="3"/>
  </r>
  <r>
    <x v="4"/>
    <s v="Casual"/>
    <s v="F"/>
    <n v="15"/>
    <s v="Izmir"/>
    <x v="3"/>
    <x v="0"/>
    <x v="6"/>
    <n v="320"/>
    <n v="40"/>
    <n v="16"/>
    <x v="3"/>
  </r>
  <r>
    <x v="0"/>
    <s v="Running"/>
    <s v="F"/>
    <n v="30"/>
    <s v="Istanbul"/>
    <x v="3"/>
    <x v="0"/>
    <x v="13"/>
    <n v="416"/>
    <n v="30"/>
    <n v="32"/>
    <x v="3"/>
  </r>
  <r>
    <x v="1"/>
    <s v="Hiking"/>
    <s v="M"/>
    <n v="35"/>
    <s v="Istanbul"/>
    <x v="3"/>
    <x v="0"/>
    <x v="0"/>
    <n v="259"/>
    <n v="18"/>
    <n v="37"/>
    <x v="3"/>
  </r>
  <r>
    <x v="2"/>
    <s v="Casual"/>
    <s v="M"/>
    <n v="20"/>
    <s v="Istanbul"/>
    <x v="3"/>
    <x v="0"/>
    <x v="5"/>
    <n v="315"/>
    <n v="30"/>
    <n v="21"/>
    <x v="3"/>
  </r>
  <r>
    <x v="3"/>
    <s v="Limited"/>
    <s v="M"/>
    <n v="48"/>
    <s v="Istanbul"/>
    <x v="3"/>
    <x v="0"/>
    <x v="3"/>
    <n v="162"/>
    <n v="8"/>
    <n v="54"/>
    <x v="3"/>
  </r>
  <r>
    <x v="4"/>
    <s v="Casual"/>
    <s v="M"/>
    <n v="17"/>
    <s v="Istanbul"/>
    <x v="3"/>
    <x v="0"/>
    <x v="4"/>
    <n v="324"/>
    <n v="35"/>
    <n v="18"/>
    <x v="3"/>
  </r>
  <r>
    <x v="5"/>
    <s v="Running"/>
    <s v="M"/>
    <n v="33"/>
    <s v="Istanbul"/>
    <x v="3"/>
    <x v="0"/>
    <x v="15"/>
    <n v="324"/>
    <n v="20"/>
    <n v="36"/>
    <x v="3"/>
  </r>
  <r>
    <x v="0"/>
    <s v="Running"/>
    <s v="F"/>
    <n v="28"/>
    <s v="Istanbul"/>
    <x v="4"/>
    <x v="0"/>
    <x v="11"/>
    <n v="496"/>
    <n v="35"/>
    <n v="31"/>
    <x v="4"/>
  </r>
  <r>
    <x v="0"/>
    <s v="Running"/>
    <s v="F"/>
    <n v="28"/>
    <s v="Antalya"/>
    <x v="4"/>
    <x v="0"/>
    <x v="2"/>
    <n v="372"/>
    <n v="25"/>
    <n v="31"/>
    <x v="4"/>
  </r>
  <r>
    <x v="1"/>
    <s v="Hiking"/>
    <s v="F"/>
    <n v="32"/>
    <s v="Istanbul"/>
    <x v="4"/>
    <x v="0"/>
    <x v="9"/>
    <n v="374"/>
    <n v="25"/>
    <n v="34"/>
    <x v="4"/>
  </r>
  <r>
    <x v="2"/>
    <s v="Casual"/>
    <s v="F"/>
    <n v="18"/>
    <s v="Istanbul"/>
    <x v="4"/>
    <x v="0"/>
    <x v="4"/>
    <n v="342"/>
    <n v="35"/>
    <n v="19"/>
    <x v="4"/>
  </r>
  <r>
    <x v="2"/>
    <s v="Casual"/>
    <s v="F"/>
    <n v="18"/>
    <s v="Konya"/>
    <x v="4"/>
    <x v="0"/>
    <x v="2"/>
    <n v="228"/>
    <n v="25"/>
    <n v="19"/>
    <x v="4"/>
  </r>
  <r>
    <x v="4"/>
    <s v="Casual"/>
    <s v="F"/>
    <n v="15"/>
    <s v="Istanbul"/>
    <x v="4"/>
    <x v="0"/>
    <x v="18"/>
    <n v="400"/>
    <n v="50"/>
    <n v="16"/>
    <x v="4"/>
  </r>
  <r>
    <x v="4"/>
    <s v="Casual"/>
    <s v="F"/>
    <n v="15"/>
    <s v="Antalya"/>
    <x v="4"/>
    <x v="0"/>
    <x v="6"/>
    <n v="320"/>
    <n v="40"/>
    <n v="16"/>
    <x v="4"/>
  </r>
  <r>
    <x v="0"/>
    <s v="Running"/>
    <s v="F"/>
    <n v="30"/>
    <s v="Istanbul"/>
    <x v="4"/>
    <x v="0"/>
    <x v="5"/>
    <n v="480"/>
    <n v="30"/>
    <n v="32"/>
    <x v="4"/>
  </r>
  <r>
    <x v="2"/>
    <s v="Casual"/>
    <s v="M"/>
    <n v="20"/>
    <s v="Istanbul"/>
    <x v="4"/>
    <x v="0"/>
    <x v="19"/>
    <n v="357"/>
    <n v="35"/>
    <n v="21"/>
    <x v="4"/>
  </r>
  <r>
    <x v="4"/>
    <s v="Casual"/>
    <s v="M"/>
    <n v="17"/>
    <s v="Istanbul"/>
    <x v="4"/>
    <x v="0"/>
    <x v="6"/>
    <n v="360"/>
    <n v="40"/>
    <n v="18"/>
    <x v="4"/>
  </r>
  <r>
    <x v="5"/>
    <s v="Running"/>
    <s v="M"/>
    <n v="33"/>
    <s v="Istanbul"/>
    <x v="4"/>
    <x v="0"/>
    <x v="7"/>
    <n v="360"/>
    <n v="22"/>
    <n v="36"/>
    <x v="4"/>
  </r>
  <r>
    <x v="0"/>
    <s v="Running"/>
    <s v="F"/>
    <n v="28"/>
    <s v="Istanbul"/>
    <x v="5"/>
    <x v="0"/>
    <x v="4"/>
    <n v="558"/>
    <n v="40"/>
    <n v="31"/>
    <x v="5"/>
  </r>
  <r>
    <x v="0"/>
    <s v="Running"/>
    <s v="F"/>
    <n v="28"/>
    <s v="Izmir"/>
    <x v="5"/>
    <x v="0"/>
    <x v="5"/>
    <n v="465"/>
    <n v="30"/>
    <n v="31"/>
    <x v="5"/>
  </r>
  <r>
    <x v="1"/>
    <s v="Hiking"/>
    <s v="F"/>
    <n v="32"/>
    <s v="Istanbul"/>
    <x v="5"/>
    <x v="0"/>
    <x v="2"/>
    <n v="408"/>
    <n v="25"/>
    <n v="34"/>
    <x v="5"/>
  </r>
  <r>
    <x v="2"/>
    <s v="Casual"/>
    <s v="F"/>
    <n v="18"/>
    <s v="Istanbul"/>
    <x v="5"/>
    <x v="0"/>
    <x v="20"/>
    <n v="418"/>
    <n v="45"/>
    <n v="19"/>
    <x v="5"/>
  </r>
  <r>
    <x v="2"/>
    <s v="Casual"/>
    <s v="F"/>
    <n v="18"/>
    <s v="Izmir"/>
    <x v="5"/>
    <x v="0"/>
    <x v="21"/>
    <n v="475"/>
    <n v="50"/>
    <n v="19"/>
    <x v="5"/>
  </r>
  <r>
    <x v="4"/>
    <s v="Casual"/>
    <s v="F"/>
    <n v="15"/>
    <s v="Istanbul"/>
    <x v="5"/>
    <x v="0"/>
    <x v="22"/>
    <n v="448"/>
    <n v="55"/>
    <n v="16"/>
    <x v="5"/>
  </r>
  <r>
    <x v="4"/>
    <s v="Casual"/>
    <s v="F"/>
    <n v="15"/>
    <s v="Izmir"/>
    <x v="5"/>
    <x v="0"/>
    <x v="18"/>
    <n v="400"/>
    <n v="50"/>
    <n v="16"/>
    <x v="5"/>
  </r>
  <r>
    <x v="4"/>
    <s v="Casual"/>
    <s v="F"/>
    <n v="15"/>
    <s v="Antalya"/>
    <x v="5"/>
    <x v="0"/>
    <x v="20"/>
    <n v="352"/>
    <n v="45"/>
    <n v="16"/>
    <x v="5"/>
  </r>
  <r>
    <x v="0"/>
    <s v="Running"/>
    <s v="F"/>
    <n v="30"/>
    <s v="Istanbul"/>
    <x v="5"/>
    <x v="0"/>
    <x v="19"/>
    <n v="544"/>
    <n v="35"/>
    <n v="32"/>
    <x v="5"/>
  </r>
  <r>
    <x v="1"/>
    <s v="Hiking"/>
    <s v="M"/>
    <n v="35"/>
    <s v="Istanbul"/>
    <x v="5"/>
    <x v="0"/>
    <x v="15"/>
    <n v="333"/>
    <n v="20"/>
    <n v="37"/>
    <x v="5"/>
  </r>
  <r>
    <x v="2"/>
    <s v="Casual"/>
    <s v="M"/>
    <n v="20"/>
    <s v="Istanbul"/>
    <x v="5"/>
    <x v="0"/>
    <x v="4"/>
    <n v="399"/>
    <n v="40"/>
    <n v="21"/>
    <x v="5"/>
  </r>
  <r>
    <x v="4"/>
    <s v="Casual"/>
    <s v="M"/>
    <n v="17"/>
    <s v="Istanbul"/>
    <x v="5"/>
    <x v="0"/>
    <x v="17"/>
    <n v="414"/>
    <n v="45"/>
    <n v="18"/>
    <x v="5"/>
  </r>
  <r>
    <x v="5"/>
    <s v="Running"/>
    <s v="M"/>
    <n v="33"/>
    <s v="Istanbul"/>
    <x v="5"/>
    <x v="0"/>
    <x v="2"/>
    <n v="432"/>
    <n v="25"/>
    <n v="36"/>
    <x v="5"/>
  </r>
  <r>
    <x v="0"/>
    <s v="Running"/>
    <s v="F"/>
    <n v="28"/>
    <s v="Istanbul"/>
    <x v="6"/>
    <x v="0"/>
    <x v="6"/>
    <n v="620"/>
    <n v="45"/>
    <n v="31"/>
    <x v="6"/>
  </r>
  <r>
    <x v="0"/>
    <s v="Running"/>
    <s v="F"/>
    <n v="28"/>
    <s v="Antalya"/>
    <x v="6"/>
    <x v="0"/>
    <x v="11"/>
    <n v="496"/>
    <n v="35"/>
    <n v="31"/>
    <x v="6"/>
  </r>
  <r>
    <x v="1"/>
    <s v="Hiking"/>
    <s v="F"/>
    <n v="32"/>
    <s v="Istanbul"/>
    <x v="6"/>
    <x v="0"/>
    <x v="3"/>
    <n v="476"/>
    <n v="30"/>
    <n v="34"/>
    <x v="6"/>
  </r>
  <r>
    <x v="2"/>
    <s v="Casual"/>
    <s v="F"/>
    <n v="18"/>
    <s v="Istanbul"/>
    <x v="6"/>
    <x v="0"/>
    <x v="18"/>
    <n v="475"/>
    <n v="50"/>
    <n v="19"/>
    <x v="6"/>
  </r>
  <r>
    <x v="2"/>
    <s v="Casual"/>
    <s v="F"/>
    <n v="18"/>
    <s v="Izmir"/>
    <x v="6"/>
    <x v="0"/>
    <x v="18"/>
    <n v="532"/>
    <n v="55"/>
    <n v="19"/>
    <x v="6"/>
  </r>
  <r>
    <x v="4"/>
    <s v="Casual"/>
    <s v="F"/>
    <n v="15"/>
    <s v="Istanbul"/>
    <x v="6"/>
    <x v="0"/>
    <x v="23"/>
    <n v="480"/>
    <n v="60"/>
    <n v="16"/>
    <x v="6"/>
  </r>
  <r>
    <x v="4"/>
    <s v="Casual"/>
    <s v="F"/>
    <n v="15"/>
    <s v="Izmir"/>
    <x v="6"/>
    <x v="0"/>
    <x v="24"/>
    <n v="448"/>
    <n v="55"/>
    <n v="16"/>
    <x v="6"/>
  </r>
  <r>
    <x v="4"/>
    <s v="Casual"/>
    <s v="F"/>
    <n v="15"/>
    <s v="Antalya"/>
    <x v="6"/>
    <x v="0"/>
    <x v="18"/>
    <n v="400"/>
    <n v="50"/>
    <n v="16"/>
    <x v="6"/>
  </r>
  <r>
    <x v="0"/>
    <s v="Running"/>
    <s v="F"/>
    <n v="30"/>
    <s v="Istanbul"/>
    <x v="6"/>
    <x v="0"/>
    <x v="25"/>
    <n v="608"/>
    <n v="40"/>
    <n v="32"/>
    <x v="6"/>
  </r>
  <r>
    <x v="1"/>
    <s v="Hiking"/>
    <s v="M"/>
    <n v="35"/>
    <s v="Istanbul"/>
    <x v="6"/>
    <x v="0"/>
    <x v="7"/>
    <n v="370"/>
    <n v="22"/>
    <n v="37"/>
    <x v="6"/>
  </r>
  <r>
    <x v="2"/>
    <s v="Casual"/>
    <s v="M"/>
    <n v="20"/>
    <s v="Istanbul"/>
    <x v="6"/>
    <x v="0"/>
    <x v="17"/>
    <n v="462"/>
    <n v="45"/>
    <n v="21"/>
    <x v="6"/>
  </r>
  <r>
    <x v="4"/>
    <s v="Casual"/>
    <s v="M"/>
    <n v="17"/>
    <s v="Istanbul"/>
    <x v="6"/>
    <x v="0"/>
    <x v="21"/>
    <n v="468"/>
    <n v="50"/>
    <n v="18"/>
    <x v="6"/>
  </r>
  <r>
    <x v="5"/>
    <s v="Running"/>
    <s v="M"/>
    <n v="33"/>
    <s v="Istanbul"/>
    <x v="6"/>
    <x v="0"/>
    <x v="14"/>
    <n v="504"/>
    <n v="30"/>
    <n v="36"/>
    <x v="6"/>
  </r>
  <r>
    <x v="0"/>
    <s v="Running"/>
    <s v="F"/>
    <n v="28"/>
    <s v="Istanbul"/>
    <x v="7"/>
    <x v="0"/>
    <x v="4"/>
    <n v="558"/>
    <n v="40"/>
    <n v="31"/>
    <x v="7"/>
  </r>
  <r>
    <x v="0"/>
    <s v="Running"/>
    <s v="F"/>
    <n v="28"/>
    <s v="Izmir"/>
    <x v="7"/>
    <x v="0"/>
    <x v="14"/>
    <n v="434"/>
    <n v="30"/>
    <n v="31"/>
    <x v="7"/>
  </r>
  <r>
    <x v="1"/>
    <s v="Hiking"/>
    <s v="F"/>
    <n v="32"/>
    <s v="Istanbul"/>
    <x v="7"/>
    <x v="0"/>
    <x v="13"/>
    <n v="442"/>
    <n v="30"/>
    <n v="34"/>
    <x v="7"/>
  </r>
  <r>
    <x v="2"/>
    <s v="Casual"/>
    <s v="F"/>
    <n v="18"/>
    <s v="Istanbul"/>
    <x v="7"/>
    <x v="0"/>
    <x v="17"/>
    <n v="437"/>
    <n v="45"/>
    <n v="19"/>
    <x v="7"/>
  </r>
  <r>
    <x v="2"/>
    <s v="Casual"/>
    <s v="F"/>
    <n v="18"/>
    <s v="Izmir"/>
    <x v="7"/>
    <x v="0"/>
    <x v="18"/>
    <n v="475"/>
    <n v="50"/>
    <n v="19"/>
    <x v="7"/>
  </r>
  <r>
    <x v="4"/>
    <s v="Casual"/>
    <s v="F"/>
    <n v="15"/>
    <s v="Istanbul"/>
    <x v="7"/>
    <x v="0"/>
    <x v="22"/>
    <n v="432"/>
    <n v="55"/>
    <n v="16"/>
    <x v="7"/>
  </r>
  <r>
    <x v="4"/>
    <s v="Casual"/>
    <s v="F"/>
    <n v="15"/>
    <s v="Izmir"/>
    <x v="7"/>
    <x v="0"/>
    <x v="18"/>
    <n v="400"/>
    <n v="50"/>
    <n v="16"/>
    <x v="7"/>
  </r>
  <r>
    <x v="0"/>
    <s v="Running"/>
    <s v="F"/>
    <n v="30"/>
    <s v="Istanbul"/>
    <x v="7"/>
    <x v="0"/>
    <x v="19"/>
    <n v="544"/>
    <n v="35"/>
    <n v="32"/>
    <x v="7"/>
  </r>
  <r>
    <x v="1"/>
    <s v="Hiking"/>
    <s v="M"/>
    <n v="35"/>
    <s v="Istanbul"/>
    <x v="7"/>
    <x v="0"/>
    <x v="7"/>
    <n v="333"/>
    <n v="20"/>
    <n v="37"/>
    <x v="7"/>
  </r>
  <r>
    <x v="2"/>
    <s v="Casual"/>
    <s v="M"/>
    <n v="20"/>
    <s v="Istanbul"/>
    <x v="7"/>
    <x v="0"/>
    <x v="26"/>
    <n v="420"/>
    <n v="40"/>
    <n v="21"/>
    <x v="7"/>
  </r>
  <r>
    <x v="4"/>
    <s v="Casual"/>
    <s v="M"/>
    <n v="17"/>
    <s v="Istanbul"/>
    <x v="7"/>
    <x v="0"/>
    <x v="27"/>
    <n v="432"/>
    <n v="45"/>
    <n v="18"/>
    <x v="7"/>
  </r>
  <r>
    <x v="5"/>
    <s v="Running"/>
    <s v="M"/>
    <n v="33"/>
    <s v="Istanbul"/>
    <x v="7"/>
    <x v="0"/>
    <x v="13"/>
    <n v="468"/>
    <n v="30"/>
    <n v="36"/>
    <x v="7"/>
  </r>
  <r>
    <x v="0"/>
    <s v="Running"/>
    <s v="F"/>
    <n v="28"/>
    <s v="Istanbul"/>
    <x v="8"/>
    <x v="0"/>
    <x v="5"/>
    <n v="465"/>
    <n v="35"/>
    <n v="31"/>
    <x v="8"/>
  </r>
  <r>
    <x v="0"/>
    <s v="Running"/>
    <s v="F"/>
    <n v="28"/>
    <s v="Izmir"/>
    <x v="8"/>
    <x v="0"/>
    <x v="2"/>
    <n v="372"/>
    <n v="25"/>
    <n v="31"/>
    <x v="8"/>
  </r>
  <r>
    <x v="1"/>
    <s v="Hiking"/>
    <s v="F"/>
    <n v="32"/>
    <s v="Istanbul"/>
    <x v="8"/>
    <x v="0"/>
    <x v="9"/>
    <n v="374"/>
    <n v="25"/>
    <n v="34"/>
    <x v="8"/>
  </r>
  <r>
    <x v="2"/>
    <s v="Casual"/>
    <s v="F"/>
    <n v="18"/>
    <s v="Istanbul"/>
    <x v="8"/>
    <x v="0"/>
    <x v="6"/>
    <n v="380"/>
    <n v="40"/>
    <n v="19"/>
    <x v="8"/>
  </r>
  <r>
    <x v="2"/>
    <s v="Casual"/>
    <s v="F"/>
    <n v="18"/>
    <s v="Izmir"/>
    <x v="8"/>
    <x v="0"/>
    <x v="26"/>
    <n v="418"/>
    <n v="45"/>
    <n v="19"/>
    <x v="8"/>
  </r>
  <r>
    <x v="4"/>
    <s v="Casual"/>
    <s v="F"/>
    <n v="15"/>
    <s v="Istanbul"/>
    <x v="8"/>
    <x v="0"/>
    <x v="18"/>
    <n v="400"/>
    <n v="50"/>
    <n v="16"/>
    <x v="8"/>
  </r>
  <r>
    <x v="4"/>
    <s v="Casual"/>
    <s v="F"/>
    <n v="15"/>
    <s v="Izmir"/>
    <x v="8"/>
    <x v="0"/>
    <x v="20"/>
    <n v="352"/>
    <n v="45"/>
    <n v="16"/>
    <x v="8"/>
  </r>
  <r>
    <x v="0"/>
    <s v="Running"/>
    <s v="F"/>
    <n v="30"/>
    <s v="Istanbul"/>
    <x v="8"/>
    <x v="0"/>
    <x v="14"/>
    <n v="448"/>
    <n v="30"/>
    <n v="32"/>
    <x v="8"/>
  </r>
  <r>
    <x v="1"/>
    <s v="Hiking"/>
    <s v="M"/>
    <n v="35"/>
    <s v="Istanbul"/>
    <x v="8"/>
    <x v="0"/>
    <x v="15"/>
    <n v="296"/>
    <n v="20"/>
    <n v="37"/>
    <x v="8"/>
  </r>
  <r>
    <x v="2"/>
    <s v="Casual"/>
    <s v="M"/>
    <n v="20"/>
    <s v="Istanbul"/>
    <x v="8"/>
    <x v="0"/>
    <x v="25"/>
    <n v="378"/>
    <n v="35"/>
    <n v="21"/>
    <x v="8"/>
  </r>
  <r>
    <x v="4"/>
    <s v="Casual"/>
    <s v="M"/>
    <n v="17"/>
    <s v="Istanbul"/>
    <x v="8"/>
    <x v="0"/>
    <x v="26"/>
    <n v="378"/>
    <n v="40"/>
    <n v="18"/>
    <x v="8"/>
  </r>
  <r>
    <x v="5"/>
    <s v="Running"/>
    <s v="M"/>
    <n v="33"/>
    <s v="Istanbul"/>
    <x v="8"/>
    <x v="0"/>
    <x v="9"/>
    <n v="396"/>
    <n v="25"/>
    <n v="36"/>
    <x v="8"/>
  </r>
  <r>
    <x v="0"/>
    <s v="Running"/>
    <s v="F"/>
    <n v="28"/>
    <s v="Istanbul"/>
    <x v="9"/>
    <x v="0"/>
    <x v="13"/>
    <n v="403"/>
    <n v="30"/>
    <n v="31"/>
    <x v="9"/>
  </r>
  <r>
    <x v="0"/>
    <s v="Running"/>
    <s v="F"/>
    <n v="28"/>
    <s v="Izmir"/>
    <x v="9"/>
    <x v="0"/>
    <x v="7"/>
    <n v="310"/>
    <n v="20"/>
    <n v="31"/>
    <x v="9"/>
  </r>
  <r>
    <x v="1"/>
    <s v="Hiking"/>
    <s v="F"/>
    <n v="32"/>
    <s v="Istanbul"/>
    <x v="9"/>
    <x v="0"/>
    <x v="7"/>
    <n v="340"/>
    <n v="22"/>
    <n v="34"/>
    <x v="9"/>
  </r>
  <r>
    <x v="2"/>
    <s v="Casual"/>
    <s v="F"/>
    <n v="18"/>
    <s v="Istanbul"/>
    <x v="9"/>
    <x v="0"/>
    <x v="4"/>
    <n v="342"/>
    <n v="35"/>
    <n v="19"/>
    <x v="9"/>
  </r>
  <r>
    <x v="3"/>
    <s v="Limited"/>
    <s v="F"/>
    <n v="45"/>
    <s v="Istanbul"/>
    <x v="9"/>
    <x v="0"/>
    <x v="12"/>
    <n v="240"/>
    <n v="12"/>
    <n v="48"/>
    <x v="9"/>
  </r>
  <r>
    <x v="4"/>
    <s v="Casual"/>
    <s v="F"/>
    <n v="15"/>
    <s v="Istanbul"/>
    <x v="9"/>
    <x v="0"/>
    <x v="20"/>
    <n v="352"/>
    <n v="45"/>
    <n v="16"/>
    <x v="9"/>
  </r>
  <r>
    <x v="4"/>
    <s v="Casual"/>
    <s v="F"/>
    <n v="15"/>
    <s v="Izmir"/>
    <x v="9"/>
    <x v="0"/>
    <x v="6"/>
    <n v="320"/>
    <n v="40"/>
    <n v="16"/>
    <x v="9"/>
  </r>
  <r>
    <x v="0"/>
    <s v="Running"/>
    <s v="F"/>
    <n v="30"/>
    <s v="Istanbul"/>
    <x v="9"/>
    <x v="0"/>
    <x v="2"/>
    <n v="384"/>
    <n v="25"/>
    <n v="32"/>
    <x v="9"/>
  </r>
  <r>
    <x v="1"/>
    <s v="Hiking"/>
    <s v="M"/>
    <n v="35"/>
    <s v="Istanbul"/>
    <x v="9"/>
    <x v="0"/>
    <x v="0"/>
    <n v="259"/>
    <n v="18"/>
    <n v="37"/>
    <x v="9"/>
  </r>
  <r>
    <x v="2"/>
    <s v="Casual"/>
    <s v="M"/>
    <n v="20"/>
    <s v="Istanbul"/>
    <x v="9"/>
    <x v="0"/>
    <x v="5"/>
    <n v="336"/>
    <n v="35"/>
    <n v="21"/>
    <x v="9"/>
  </r>
  <r>
    <x v="3"/>
    <s v="Limited"/>
    <s v="M"/>
    <n v="48"/>
    <s v="Istanbul"/>
    <x v="9"/>
    <x v="0"/>
    <x v="16"/>
    <n v="216"/>
    <n v="10"/>
    <n v="54"/>
    <x v="9"/>
  </r>
  <r>
    <x v="4"/>
    <s v="Casual"/>
    <s v="M"/>
    <n v="17"/>
    <s v="Istanbul"/>
    <x v="9"/>
    <x v="0"/>
    <x v="25"/>
    <n v="342"/>
    <n v="40"/>
    <n v="18"/>
    <x v="9"/>
  </r>
  <r>
    <x v="5"/>
    <s v="Running"/>
    <s v="M"/>
    <n v="33"/>
    <s v="Istanbul"/>
    <x v="9"/>
    <x v="0"/>
    <x v="7"/>
    <n v="360"/>
    <n v="22"/>
    <n v="36"/>
    <x v="9"/>
  </r>
  <r>
    <x v="0"/>
    <s v="Running"/>
    <s v="F"/>
    <n v="28"/>
    <s v="Istanbul"/>
    <x v="10"/>
    <x v="0"/>
    <x v="2"/>
    <n v="372"/>
    <n v="25"/>
    <n v="31"/>
    <x v="10"/>
  </r>
  <r>
    <x v="0"/>
    <s v="Running"/>
    <s v="F"/>
    <n v="28"/>
    <s v="Antalya"/>
    <x v="10"/>
    <x v="0"/>
    <x v="15"/>
    <n v="279"/>
    <n v="20"/>
    <n v="31"/>
    <x v="10"/>
  </r>
  <r>
    <x v="1"/>
    <s v="Hiking"/>
    <s v="F"/>
    <n v="32"/>
    <s v="Istanbul"/>
    <x v="10"/>
    <x v="0"/>
    <x v="15"/>
    <n v="306"/>
    <n v="20"/>
    <n v="34"/>
    <x v="10"/>
  </r>
  <r>
    <x v="2"/>
    <s v="Casual"/>
    <s v="F"/>
    <n v="18"/>
    <s v="Istanbul"/>
    <x v="10"/>
    <x v="0"/>
    <x v="5"/>
    <n v="304"/>
    <n v="35"/>
    <n v="19"/>
    <x v="10"/>
  </r>
  <r>
    <x v="2"/>
    <s v="Casual"/>
    <s v="F"/>
    <n v="18"/>
    <s v="Izmir"/>
    <x v="10"/>
    <x v="0"/>
    <x v="6"/>
    <n v="380"/>
    <n v="40"/>
    <n v="19"/>
    <x v="10"/>
  </r>
  <r>
    <x v="4"/>
    <s v="Casual"/>
    <s v="F"/>
    <n v="15"/>
    <s v="Istanbul"/>
    <x v="10"/>
    <x v="0"/>
    <x v="20"/>
    <n v="352"/>
    <n v="45"/>
    <n v="16"/>
    <x v="10"/>
  </r>
  <r>
    <x v="4"/>
    <s v="Casual"/>
    <s v="F"/>
    <n v="15"/>
    <s v="Antalya"/>
    <x v="10"/>
    <x v="0"/>
    <x v="25"/>
    <n v="288"/>
    <n v="35"/>
    <n v="16"/>
    <x v="10"/>
  </r>
  <r>
    <x v="0"/>
    <s v="Running"/>
    <s v="F"/>
    <n v="30"/>
    <s v="Istanbul"/>
    <x v="10"/>
    <x v="0"/>
    <x v="2"/>
    <n v="384"/>
    <n v="25"/>
    <n v="32"/>
    <x v="10"/>
  </r>
  <r>
    <x v="2"/>
    <s v="Casual"/>
    <s v="M"/>
    <n v="20"/>
    <s v="Istanbul"/>
    <x v="10"/>
    <x v="0"/>
    <x v="5"/>
    <n v="315"/>
    <n v="30"/>
    <n v="21"/>
    <x v="10"/>
  </r>
  <r>
    <x v="4"/>
    <s v="Casual"/>
    <s v="M"/>
    <n v="17"/>
    <s v="Istanbul"/>
    <x v="10"/>
    <x v="0"/>
    <x v="19"/>
    <n v="306"/>
    <n v="35"/>
    <n v="18"/>
    <x v="10"/>
  </r>
  <r>
    <x v="5"/>
    <s v="Running"/>
    <s v="M"/>
    <n v="33"/>
    <s v="Istanbul"/>
    <x v="10"/>
    <x v="0"/>
    <x v="15"/>
    <n v="324"/>
    <n v="20"/>
    <n v="36"/>
    <x v="10"/>
  </r>
  <r>
    <x v="0"/>
    <s v="Running"/>
    <s v="F"/>
    <n v="28"/>
    <s v="Istanbul"/>
    <x v="11"/>
    <x v="0"/>
    <x v="14"/>
    <n v="434"/>
    <n v="30"/>
    <n v="31"/>
    <x v="11"/>
  </r>
  <r>
    <x v="0"/>
    <s v="Running"/>
    <s v="F"/>
    <n v="28"/>
    <s v="Izmir"/>
    <x v="11"/>
    <x v="0"/>
    <x v="9"/>
    <n v="341"/>
    <n v="25"/>
    <n v="31"/>
    <x v="11"/>
  </r>
  <r>
    <x v="1"/>
    <s v="Hiking"/>
    <s v="F"/>
    <n v="32"/>
    <s v="Istanbul"/>
    <x v="11"/>
    <x v="0"/>
    <x v="9"/>
    <n v="374"/>
    <n v="25"/>
    <n v="34"/>
    <x v="11"/>
  </r>
  <r>
    <x v="2"/>
    <s v="Casual"/>
    <s v="F"/>
    <n v="18"/>
    <s v="Istanbul"/>
    <x v="11"/>
    <x v="0"/>
    <x v="4"/>
    <n v="342"/>
    <n v="35"/>
    <n v="19"/>
    <x v="11"/>
  </r>
  <r>
    <x v="3"/>
    <s v="Limited"/>
    <s v="F"/>
    <n v="45"/>
    <s v="Istanbul"/>
    <x v="11"/>
    <x v="0"/>
    <x v="8"/>
    <n v="288"/>
    <n v="15"/>
    <n v="48"/>
    <x v="11"/>
  </r>
  <r>
    <x v="4"/>
    <s v="Casual"/>
    <s v="F"/>
    <n v="15"/>
    <s v="Istanbul"/>
    <x v="11"/>
    <x v="0"/>
    <x v="27"/>
    <n v="384"/>
    <n v="50"/>
    <n v="16"/>
    <x v="11"/>
  </r>
  <r>
    <x v="4"/>
    <s v="Casual"/>
    <s v="F"/>
    <n v="15"/>
    <s v="Izmir"/>
    <x v="11"/>
    <x v="0"/>
    <x v="20"/>
    <n v="352"/>
    <n v="45"/>
    <n v="16"/>
    <x v="11"/>
  </r>
  <r>
    <x v="0"/>
    <s v="Running"/>
    <s v="F"/>
    <n v="30"/>
    <s v="Istanbul"/>
    <x v="11"/>
    <x v="0"/>
    <x v="5"/>
    <n v="480"/>
    <n v="30"/>
    <n v="32"/>
    <x v="11"/>
  </r>
  <r>
    <x v="1"/>
    <s v="Hiking"/>
    <s v="M"/>
    <n v="35"/>
    <s v="Istanbul"/>
    <x v="11"/>
    <x v="0"/>
    <x v="7"/>
    <n v="333"/>
    <n v="20"/>
    <n v="37"/>
    <x v="11"/>
  </r>
  <r>
    <x v="2"/>
    <s v="Casual"/>
    <s v="M"/>
    <n v="20"/>
    <s v="Istanbul"/>
    <x v="11"/>
    <x v="0"/>
    <x v="4"/>
    <n v="378"/>
    <n v="35"/>
    <n v="21"/>
    <x v="11"/>
  </r>
  <r>
    <x v="3"/>
    <s v="Limited"/>
    <s v="M"/>
    <n v="48"/>
    <s v="Istanbul"/>
    <x v="11"/>
    <x v="0"/>
    <x v="12"/>
    <n v="270"/>
    <n v="12"/>
    <n v="54"/>
    <x v="11"/>
  </r>
  <r>
    <x v="4"/>
    <s v="Casual"/>
    <s v="M"/>
    <n v="17"/>
    <s v="Istanbul"/>
    <x v="11"/>
    <x v="0"/>
    <x v="26"/>
    <n v="378"/>
    <n v="40"/>
    <n v="18"/>
    <x v="11"/>
  </r>
  <r>
    <x v="5"/>
    <s v="Running"/>
    <s v="M"/>
    <n v="33"/>
    <s v="Istanbul"/>
    <x v="11"/>
    <x v="0"/>
    <x v="2"/>
    <n v="432"/>
    <n v="25"/>
    <n v="36"/>
    <x v="11"/>
  </r>
  <r>
    <x v="0"/>
    <s v="Running"/>
    <s v="F"/>
    <n v="28"/>
    <s v="Istanbul"/>
    <x v="0"/>
    <x v="1"/>
    <x v="2"/>
    <n v="384"/>
    <n v="25"/>
    <n v="32"/>
    <x v="12"/>
  </r>
  <r>
    <x v="0"/>
    <s v="Running"/>
    <s v="F"/>
    <n v="28"/>
    <s v="Ankara"/>
    <x v="0"/>
    <x v="1"/>
    <x v="1"/>
    <n v="256"/>
    <n v="18"/>
    <n v="32"/>
    <x v="12"/>
  </r>
  <r>
    <x v="0"/>
    <s v="Running"/>
    <s v="F"/>
    <n v="28"/>
    <s v="Izmir"/>
    <x v="0"/>
    <x v="1"/>
    <x v="7"/>
    <n v="320"/>
    <n v="22"/>
    <n v="32"/>
    <x v="12"/>
  </r>
  <r>
    <x v="0"/>
    <s v="Running"/>
    <s v="F"/>
    <n v="28"/>
    <s v="Bursa"/>
    <x v="0"/>
    <x v="1"/>
    <x v="8"/>
    <n v="192"/>
    <n v="15"/>
    <n v="32"/>
    <x v="12"/>
  </r>
  <r>
    <x v="0"/>
    <s v="Running"/>
    <s v="F"/>
    <n v="28"/>
    <s v="Antalya"/>
    <x v="0"/>
    <x v="1"/>
    <x v="15"/>
    <n v="288"/>
    <n v="20"/>
    <n v="32"/>
    <x v="12"/>
  </r>
  <r>
    <x v="1"/>
    <s v="Hiking"/>
    <s v="F"/>
    <n v="32"/>
    <s v="Istanbul"/>
    <x v="0"/>
    <x v="1"/>
    <x v="15"/>
    <n v="324"/>
    <n v="20"/>
    <n v="36"/>
    <x v="12"/>
  </r>
  <r>
    <x v="1"/>
    <s v="Hiking"/>
    <s v="F"/>
    <n v="32"/>
    <s v="Ankara"/>
    <x v="0"/>
    <x v="1"/>
    <x v="8"/>
    <n v="216"/>
    <n v="15"/>
    <n v="36"/>
    <x v="12"/>
  </r>
  <r>
    <x v="2"/>
    <s v="Casual"/>
    <s v="F"/>
    <n v="18"/>
    <s v="Istanbul"/>
    <x v="0"/>
    <x v="1"/>
    <x v="5"/>
    <n v="300"/>
    <n v="30"/>
    <n v="20"/>
    <x v="12"/>
  </r>
  <r>
    <x v="2"/>
    <s v="Casual"/>
    <s v="F"/>
    <n v="18"/>
    <s v="Izmir"/>
    <x v="0"/>
    <x v="1"/>
    <x v="4"/>
    <n v="360"/>
    <n v="35"/>
    <n v="20"/>
    <x v="12"/>
  </r>
  <r>
    <x v="3"/>
    <s v="Limited"/>
    <s v="F"/>
    <n v="45"/>
    <s v="Istanbul"/>
    <x v="0"/>
    <x v="1"/>
    <x v="16"/>
    <n v="208"/>
    <n v="10"/>
    <n v="52"/>
    <x v="12"/>
  </r>
  <r>
    <x v="4"/>
    <s v="Casual"/>
    <s v="F"/>
    <n v="15"/>
    <s v="Istanbul"/>
    <x v="0"/>
    <x v="1"/>
    <x v="6"/>
    <n v="340"/>
    <n v="40"/>
    <n v="17"/>
    <x v="12"/>
  </r>
  <r>
    <x v="4"/>
    <s v="Casual"/>
    <s v="F"/>
    <n v="15"/>
    <s v="Izmir"/>
    <x v="0"/>
    <x v="1"/>
    <x v="17"/>
    <n v="374"/>
    <n v="45"/>
    <n v="17"/>
    <x v="12"/>
  </r>
  <r>
    <x v="0"/>
    <s v="Running"/>
    <s v="F"/>
    <n v="30"/>
    <s v="Istanbul"/>
    <x v="0"/>
    <x v="1"/>
    <x v="9"/>
    <n v="363"/>
    <n v="25"/>
    <n v="33"/>
    <x v="12"/>
  </r>
  <r>
    <x v="1"/>
    <s v="Hiking"/>
    <s v="M"/>
    <n v="35"/>
    <s v="Istanbul"/>
    <x v="0"/>
    <x v="1"/>
    <x v="0"/>
    <n v="273"/>
    <n v="18"/>
    <n v="39"/>
    <x v="12"/>
  </r>
  <r>
    <x v="2"/>
    <s v="Casual"/>
    <s v="M"/>
    <n v="20"/>
    <s v="Istanbul"/>
    <x v="0"/>
    <x v="1"/>
    <x v="14"/>
    <n v="308"/>
    <n v="30"/>
    <n v="22"/>
    <x v="12"/>
  </r>
  <r>
    <x v="3"/>
    <s v="Limited"/>
    <s v="M"/>
    <n v="48"/>
    <s v="Istanbul"/>
    <x v="0"/>
    <x v="1"/>
    <x v="3"/>
    <n v="168"/>
    <n v="8"/>
    <n v="56"/>
    <x v="12"/>
  </r>
  <r>
    <x v="4"/>
    <s v="Casual"/>
    <s v="M"/>
    <n v="17"/>
    <s v="Istanbul"/>
    <x v="0"/>
    <x v="1"/>
    <x v="11"/>
    <n v="304"/>
    <n v="35"/>
    <n v="19"/>
    <x v="12"/>
  </r>
  <r>
    <x v="5"/>
    <s v="Running"/>
    <s v="M"/>
    <n v="33"/>
    <s v="Istanbul"/>
    <x v="0"/>
    <x v="1"/>
    <x v="1"/>
    <n v="304"/>
    <n v="20"/>
    <n v="38"/>
    <x v="12"/>
  </r>
  <r>
    <x v="0"/>
    <s v="Running"/>
    <s v="F"/>
    <n v="28"/>
    <s v="Istanbul"/>
    <x v="1"/>
    <x v="1"/>
    <x v="7"/>
    <n v="320"/>
    <n v="20"/>
    <n v="32"/>
    <x v="13"/>
  </r>
  <r>
    <x v="0"/>
    <s v="Running"/>
    <s v="F"/>
    <n v="28"/>
    <s v="Izmir"/>
    <x v="1"/>
    <x v="1"/>
    <x v="1"/>
    <n v="256"/>
    <n v="18"/>
    <n v="32"/>
    <x v="13"/>
  </r>
  <r>
    <x v="1"/>
    <s v="Hiking"/>
    <s v="F"/>
    <n v="32"/>
    <s v="Istanbul"/>
    <x v="1"/>
    <x v="1"/>
    <x v="1"/>
    <n v="252"/>
    <n v="16"/>
    <n v="36"/>
    <x v="13"/>
  </r>
  <r>
    <x v="2"/>
    <s v="Casual"/>
    <s v="F"/>
    <n v="18"/>
    <s v="Istanbul"/>
    <x v="1"/>
    <x v="1"/>
    <x v="7"/>
    <n v="240"/>
    <n v="25"/>
    <n v="20"/>
    <x v="13"/>
  </r>
  <r>
    <x v="4"/>
    <s v="Casual"/>
    <s v="F"/>
    <n v="15"/>
    <s v="Istanbul"/>
    <x v="1"/>
    <x v="1"/>
    <x v="4"/>
    <n v="306"/>
    <n v="35"/>
    <n v="17"/>
    <x v="13"/>
  </r>
  <r>
    <x v="0"/>
    <s v="Running"/>
    <s v="F"/>
    <n v="30"/>
    <s v="Istanbul"/>
    <x v="1"/>
    <x v="1"/>
    <x v="15"/>
    <n v="297"/>
    <n v="20"/>
    <n v="33"/>
    <x v="13"/>
  </r>
  <r>
    <x v="1"/>
    <s v="Hiking"/>
    <s v="M"/>
    <n v="35"/>
    <s v="Istanbul"/>
    <x v="1"/>
    <x v="1"/>
    <x v="0"/>
    <n v="234"/>
    <n v="15"/>
    <n v="39"/>
    <x v="13"/>
  </r>
  <r>
    <x v="2"/>
    <s v="Casual"/>
    <s v="M"/>
    <n v="20"/>
    <s v="Istanbul"/>
    <x v="1"/>
    <x v="1"/>
    <x v="9"/>
    <n v="242"/>
    <n v="25"/>
    <n v="22"/>
    <x v="13"/>
  </r>
  <r>
    <x v="4"/>
    <s v="Casual"/>
    <s v="M"/>
    <n v="17"/>
    <s v="Istanbul"/>
    <x v="1"/>
    <x v="1"/>
    <x v="14"/>
    <n v="266"/>
    <n v="30"/>
    <n v="19"/>
    <x v="13"/>
  </r>
  <r>
    <x v="5"/>
    <s v="Running"/>
    <s v="M"/>
    <n v="33"/>
    <s v="Istanbul"/>
    <x v="1"/>
    <x v="1"/>
    <x v="8"/>
    <n v="266"/>
    <n v="16"/>
    <n v="38"/>
    <x v="13"/>
  </r>
  <r>
    <x v="0"/>
    <s v="Running"/>
    <s v="F"/>
    <n v="28"/>
    <s v="Istanbul"/>
    <x v="2"/>
    <x v="1"/>
    <x v="14"/>
    <n v="448"/>
    <n v="25"/>
    <n v="32"/>
    <x v="14"/>
  </r>
  <r>
    <x v="0"/>
    <s v="Running"/>
    <s v="F"/>
    <n v="28"/>
    <s v="Antalya"/>
    <x v="2"/>
    <x v="1"/>
    <x v="7"/>
    <n v="320"/>
    <n v="20"/>
    <n v="32"/>
    <x v="14"/>
  </r>
  <r>
    <x v="1"/>
    <s v="Hiking"/>
    <s v="F"/>
    <n v="32"/>
    <s v="Istanbul"/>
    <x v="2"/>
    <x v="1"/>
    <x v="1"/>
    <n v="288"/>
    <n v="18"/>
    <n v="36"/>
    <x v="14"/>
  </r>
  <r>
    <x v="2"/>
    <s v="Casual"/>
    <s v="F"/>
    <n v="18"/>
    <s v="Istanbul"/>
    <x v="2"/>
    <x v="1"/>
    <x v="11"/>
    <n v="320"/>
    <n v="35"/>
    <n v="20"/>
    <x v="14"/>
  </r>
  <r>
    <x v="2"/>
    <s v="Casual"/>
    <s v="F"/>
    <n v="18"/>
    <s v="Izmir"/>
    <x v="2"/>
    <x v="1"/>
    <x v="26"/>
    <n v="400"/>
    <n v="40"/>
    <n v="20"/>
    <x v="14"/>
  </r>
  <r>
    <x v="4"/>
    <s v="Casual"/>
    <s v="F"/>
    <n v="15"/>
    <s v="Istanbul"/>
    <x v="2"/>
    <x v="1"/>
    <x v="20"/>
    <n v="374"/>
    <n v="45"/>
    <n v="17"/>
    <x v="14"/>
  </r>
  <r>
    <x v="4"/>
    <s v="Casual"/>
    <s v="F"/>
    <n v="15"/>
    <s v="Antalya"/>
    <x v="2"/>
    <x v="1"/>
    <x v="4"/>
    <n v="306"/>
    <n v="35"/>
    <n v="17"/>
    <x v="14"/>
  </r>
  <r>
    <x v="0"/>
    <s v="Running"/>
    <s v="F"/>
    <n v="30"/>
    <s v="Istanbul"/>
    <x v="2"/>
    <x v="1"/>
    <x v="2"/>
    <n v="396"/>
    <n v="25"/>
    <n v="33"/>
    <x v="14"/>
  </r>
  <r>
    <x v="2"/>
    <s v="Casual"/>
    <s v="M"/>
    <n v="20"/>
    <s v="Istanbul"/>
    <x v="2"/>
    <x v="1"/>
    <x v="5"/>
    <n v="330"/>
    <n v="30"/>
    <n v="22"/>
    <x v="14"/>
  </r>
  <r>
    <x v="4"/>
    <s v="Casual"/>
    <s v="M"/>
    <n v="17"/>
    <s v="Istanbul"/>
    <x v="2"/>
    <x v="1"/>
    <x v="4"/>
    <n v="323"/>
    <n v="35"/>
    <n v="19"/>
    <x v="14"/>
  </r>
  <r>
    <x v="5"/>
    <s v="Running"/>
    <s v="M"/>
    <n v="33"/>
    <s v="Istanbul"/>
    <x v="2"/>
    <x v="1"/>
    <x v="7"/>
    <n v="342"/>
    <n v="20"/>
    <n v="38"/>
    <x v="14"/>
  </r>
  <r>
    <x v="0"/>
    <s v="Running"/>
    <s v="F"/>
    <n v="28"/>
    <s v="Istanbul"/>
    <x v="3"/>
    <x v="1"/>
    <x v="11"/>
    <n v="512"/>
    <n v="30"/>
    <n v="32"/>
    <x v="15"/>
  </r>
  <r>
    <x v="0"/>
    <s v="Running"/>
    <s v="F"/>
    <n v="28"/>
    <s v="Izmir"/>
    <x v="3"/>
    <x v="1"/>
    <x v="2"/>
    <n v="384"/>
    <n v="25"/>
    <n v="32"/>
    <x v="15"/>
  </r>
  <r>
    <x v="1"/>
    <s v="Hiking"/>
    <s v="F"/>
    <n v="32"/>
    <s v="Istanbul"/>
    <x v="3"/>
    <x v="1"/>
    <x v="7"/>
    <n v="360"/>
    <n v="22"/>
    <n v="36"/>
    <x v="15"/>
  </r>
  <r>
    <x v="2"/>
    <s v="Casual"/>
    <s v="F"/>
    <n v="18"/>
    <s v="Istanbul"/>
    <x v="3"/>
    <x v="1"/>
    <x v="4"/>
    <n v="360"/>
    <n v="35"/>
    <n v="20"/>
    <x v="15"/>
  </r>
  <r>
    <x v="3"/>
    <s v="Limited"/>
    <s v="F"/>
    <n v="45"/>
    <s v="Istanbul"/>
    <x v="3"/>
    <x v="1"/>
    <x v="12"/>
    <n v="260"/>
    <n v="12"/>
    <n v="52"/>
    <x v="15"/>
  </r>
  <r>
    <x v="4"/>
    <s v="Casual"/>
    <s v="F"/>
    <n v="15"/>
    <s v="Istanbul"/>
    <x v="3"/>
    <x v="1"/>
    <x v="18"/>
    <n v="425"/>
    <n v="50"/>
    <n v="17"/>
    <x v="15"/>
  </r>
  <r>
    <x v="4"/>
    <s v="Casual"/>
    <s v="F"/>
    <n v="15"/>
    <s v="Izmir"/>
    <x v="3"/>
    <x v="1"/>
    <x v="20"/>
    <n v="374"/>
    <n v="45"/>
    <n v="17"/>
    <x v="15"/>
  </r>
  <r>
    <x v="0"/>
    <s v="Running"/>
    <s v="F"/>
    <n v="30"/>
    <s v="Istanbul"/>
    <x v="3"/>
    <x v="1"/>
    <x v="14"/>
    <n v="462"/>
    <n v="30"/>
    <n v="33"/>
    <x v="15"/>
  </r>
  <r>
    <x v="1"/>
    <s v="Hiking"/>
    <s v="M"/>
    <n v="35"/>
    <s v="Istanbul"/>
    <x v="3"/>
    <x v="1"/>
    <x v="1"/>
    <n v="312"/>
    <n v="20"/>
    <n v="39"/>
    <x v="15"/>
  </r>
  <r>
    <x v="2"/>
    <s v="Casual"/>
    <s v="M"/>
    <n v="20"/>
    <s v="Istanbul"/>
    <x v="3"/>
    <x v="1"/>
    <x v="11"/>
    <n v="352"/>
    <n v="35"/>
    <n v="22"/>
    <x v="15"/>
  </r>
  <r>
    <x v="3"/>
    <s v="Limited"/>
    <s v="M"/>
    <n v="48"/>
    <s v="Istanbul"/>
    <x v="3"/>
    <x v="1"/>
    <x v="16"/>
    <n v="224"/>
    <n v="10"/>
    <n v="56"/>
    <x v="15"/>
  </r>
  <r>
    <x v="4"/>
    <s v="Casual"/>
    <s v="M"/>
    <n v="17"/>
    <s v="Istanbul"/>
    <x v="3"/>
    <x v="1"/>
    <x v="4"/>
    <n v="361"/>
    <n v="40"/>
    <n v="19"/>
    <x v="15"/>
  </r>
  <r>
    <x v="5"/>
    <s v="Running"/>
    <s v="M"/>
    <n v="33"/>
    <s v="Istanbul"/>
    <x v="3"/>
    <x v="1"/>
    <x v="7"/>
    <n v="380"/>
    <n v="22"/>
    <n v="38"/>
    <x v="15"/>
  </r>
  <r>
    <x v="0"/>
    <s v="Running"/>
    <s v="F"/>
    <n v="28"/>
    <s v="Istanbul"/>
    <x v="4"/>
    <x v="1"/>
    <x v="4"/>
    <n v="576"/>
    <n v="35"/>
    <n v="32"/>
    <x v="16"/>
  </r>
  <r>
    <x v="0"/>
    <s v="Running"/>
    <s v="F"/>
    <n v="28"/>
    <s v="Antalya"/>
    <x v="4"/>
    <x v="1"/>
    <x v="14"/>
    <n v="448"/>
    <n v="30"/>
    <n v="32"/>
    <x v="16"/>
  </r>
  <r>
    <x v="1"/>
    <s v="Hiking"/>
    <s v="F"/>
    <n v="32"/>
    <s v="Istanbul"/>
    <x v="4"/>
    <x v="1"/>
    <x v="9"/>
    <n v="432"/>
    <n v="25"/>
    <n v="36"/>
    <x v="16"/>
  </r>
  <r>
    <x v="2"/>
    <s v="Casual"/>
    <s v="F"/>
    <n v="18"/>
    <s v="Istanbul"/>
    <x v="4"/>
    <x v="1"/>
    <x v="6"/>
    <n v="400"/>
    <n v="40"/>
    <n v="20"/>
    <x v="16"/>
  </r>
  <r>
    <x v="2"/>
    <s v="Casual"/>
    <s v="F"/>
    <n v="18"/>
    <s v="Konya"/>
    <x v="4"/>
    <x v="1"/>
    <x v="13"/>
    <n v="240"/>
    <n v="25"/>
    <n v="20"/>
    <x v="16"/>
  </r>
  <r>
    <x v="4"/>
    <s v="Casual"/>
    <s v="F"/>
    <n v="15"/>
    <s v="Istanbul"/>
    <x v="4"/>
    <x v="1"/>
    <x v="22"/>
    <n v="425"/>
    <n v="50"/>
    <n v="17"/>
    <x v="16"/>
  </r>
  <r>
    <x v="4"/>
    <s v="Casual"/>
    <s v="F"/>
    <n v="15"/>
    <s v="Antalya"/>
    <x v="4"/>
    <x v="1"/>
    <x v="6"/>
    <n v="340"/>
    <n v="40"/>
    <n v="17"/>
    <x v="16"/>
  </r>
  <r>
    <x v="0"/>
    <s v="Running"/>
    <s v="F"/>
    <n v="30"/>
    <s v="Istanbul"/>
    <x v="4"/>
    <x v="1"/>
    <x v="5"/>
    <n v="495"/>
    <n v="30"/>
    <n v="33"/>
    <x v="16"/>
  </r>
  <r>
    <x v="2"/>
    <s v="Casual"/>
    <s v="M"/>
    <n v="20"/>
    <s v="Istanbul"/>
    <x v="4"/>
    <x v="1"/>
    <x v="6"/>
    <n v="374"/>
    <n v="35"/>
    <n v="22"/>
    <x v="16"/>
  </r>
  <r>
    <x v="4"/>
    <s v="Casual"/>
    <s v="M"/>
    <n v="17"/>
    <s v="Istanbul"/>
    <x v="4"/>
    <x v="1"/>
    <x v="6"/>
    <n v="380"/>
    <n v="40"/>
    <n v="19"/>
    <x v="16"/>
  </r>
  <r>
    <x v="5"/>
    <s v="Running"/>
    <s v="M"/>
    <n v="33"/>
    <s v="Istanbul"/>
    <x v="4"/>
    <x v="1"/>
    <x v="15"/>
    <n v="380"/>
    <n v="22"/>
    <n v="38"/>
    <x v="16"/>
  </r>
  <r>
    <x v="0"/>
    <s v="Running"/>
    <s v="F"/>
    <n v="28"/>
    <s v="Istanbul"/>
    <x v="5"/>
    <x v="1"/>
    <x v="4"/>
    <n v="576"/>
    <n v="40"/>
    <n v="32"/>
    <x v="17"/>
  </r>
  <r>
    <x v="0"/>
    <s v="Running"/>
    <s v="F"/>
    <n v="28"/>
    <s v="Izmir"/>
    <x v="5"/>
    <x v="1"/>
    <x v="5"/>
    <n v="480"/>
    <n v="30"/>
    <n v="32"/>
    <x v="17"/>
  </r>
  <r>
    <x v="1"/>
    <s v="Hiking"/>
    <s v="F"/>
    <n v="32"/>
    <s v="Istanbul"/>
    <x v="5"/>
    <x v="1"/>
    <x v="2"/>
    <n v="432"/>
    <n v="25"/>
    <n v="36"/>
    <x v="17"/>
  </r>
  <r>
    <x v="2"/>
    <s v="Casual"/>
    <s v="F"/>
    <n v="18"/>
    <s v="Istanbul"/>
    <x v="5"/>
    <x v="1"/>
    <x v="20"/>
    <n v="440"/>
    <n v="45"/>
    <n v="20"/>
    <x v="17"/>
  </r>
  <r>
    <x v="2"/>
    <s v="Casual"/>
    <s v="F"/>
    <n v="18"/>
    <s v="Izmir"/>
    <x v="5"/>
    <x v="1"/>
    <x v="18"/>
    <n v="500"/>
    <n v="50"/>
    <n v="20"/>
    <x v="17"/>
  </r>
  <r>
    <x v="4"/>
    <s v="Casual"/>
    <s v="F"/>
    <n v="15"/>
    <s v="Istanbul"/>
    <x v="5"/>
    <x v="1"/>
    <x v="28"/>
    <n v="476"/>
    <n v="55"/>
    <n v="17"/>
    <x v="17"/>
  </r>
  <r>
    <x v="4"/>
    <s v="Casual"/>
    <s v="F"/>
    <n v="15"/>
    <s v="Izmir"/>
    <x v="5"/>
    <x v="1"/>
    <x v="18"/>
    <n v="425"/>
    <n v="50"/>
    <n v="17"/>
    <x v="17"/>
  </r>
  <r>
    <x v="4"/>
    <s v="Casual"/>
    <s v="F"/>
    <n v="15"/>
    <s v="Antalya"/>
    <x v="5"/>
    <x v="1"/>
    <x v="20"/>
    <n v="374"/>
    <n v="45"/>
    <n v="17"/>
    <x v="17"/>
  </r>
  <r>
    <x v="0"/>
    <s v="Running"/>
    <s v="F"/>
    <n v="30"/>
    <s v="Istanbul"/>
    <x v="5"/>
    <x v="1"/>
    <x v="19"/>
    <n v="561"/>
    <n v="35"/>
    <n v="33"/>
    <x v="17"/>
  </r>
  <r>
    <x v="1"/>
    <s v="Hiking"/>
    <s v="M"/>
    <n v="35"/>
    <s v="Istanbul"/>
    <x v="5"/>
    <x v="1"/>
    <x v="15"/>
    <n v="351"/>
    <n v="20"/>
    <n v="39"/>
    <x v="17"/>
  </r>
  <r>
    <x v="2"/>
    <s v="Casual"/>
    <s v="M"/>
    <n v="20"/>
    <s v="Istanbul"/>
    <x v="5"/>
    <x v="1"/>
    <x v="25"/>
    <n v="418"/>
    <n v="40"/>
    <n v="22"/>
    <x v="17"/>
  </r>
  <r>
    <x v="4"/>
    <s v="Casual"/>
    <s v="M"/>
    <n v="17"/>
    <s v="Istanbul"/>
    <x v="5"/>
    <x v="1"/>
    <x v="29"/>
    <n v="437"/>
    <n v="45"/>
    <n v="19"/>
    <x v="17"/>
  </r>
  <r>
    <x v="5"/>
    <s v="Running"/>
    <s v="M"/>
    <n v="33"/>
    <s v="Istanbul"/>
    <x v="5"/>
    <x v="1"/>
    <x v="2"/>
    <n v="456"/>
    <n v="25"/>
    <n v="38"/>
    <x v="17"/>
  </r>
  <r>
    <x v="0"/>
    <s v="Running"/>
    <s v="F"/>
    <n v="28"/>
    <s v="Istanbul"/>
    <x v="6"/>
    <x v="1"/>
    <x v="6"/>
    <n v="640"/>
    <n v="45"/>
    <n v="32"/>
    <x v="18"/>
  </r>
  <r>
    <x v="0"/>
    <s v="Running"/>
    <s v="F"/>
    <n v="28"/>
    <s v="Antalya"/>
    <x v="6"/>
    <x v="1"/>
    <x v="11"/>
    <n v="512"/>
    <n v="35"/>
    <n v="32"/>
    <x v="18"/>
  </r>
  <r>
    <x v="1"/>
    <s v="Hiking"/>
    <s v="F"/>
    <n v="32"/>
    <s v="Istanbul"/>
    <x v="6"/>
    <x v="1"/>
    <x v="11"/>
    <n v="504"/>
    <n v="30"/>
    <n v="36"/>
    <x v="18"/>
  </r>
  <r>
    <x v="2"/>
    <s v="Casual"/>
    <s v="F"/>
    <n v="18"/>
    <s v="Istanbul"/>
    <x v="6"/>
    <x v="1"/>
    <x v="21"/>
    <n v="500"/>
    <n v="50"/>
    <n v="20"/>
    <x v="18"/>
  </r>
  <r>
    <x v="2"/>
    <s v="Casual"/>
    <s v="F"/>
    <n v="18"/>
    <s v="Izmir"/>
    <x v="6"/>
    <x v="1"/>
    <x v="23"/>
    <n v="560"/>
    <n v="55"/>
    <n v="20"/>
    <x v="18"/>
  </r>
  <r>
    <x v="4"/>
    <s v="Casual"/>
    <s v="F"/>
    <n v="15"/>
    <s v="Istanbul"/>
    <x v="6"/>
    <x v="1"/>
    <x v="23"/>
    <n v="510"/>
    <n v="60"/>
    <n v="17"/>
    <x v="18"/>
  </r>
  <r>
    <x v="4"/>
    <s v="Casual"/>
    <s v="F"/>
    <n v="15"/>
    <s v="Izmir"/>
    <x v="6"/>
    <x v="1"/>
    <x v="24"/>
    <n v="476"/>
    <n v="55"/>
    <n v="17"/>
    <x v="18"/>
  </r>
  <r>
    <x v="4"/>
    <s v="Casual"/>
    <s v="F"/>
    <n v="15"/>
    <s v="Antalya"/>
    <x v="6"/>
    <x v="1"/>
    <x v="18"/>
    <n v="425"/>
    <n v="50"/>
    <n v="17"/>
    <x v="18"/>
  </r>
  <r>
    <x v="0"/>
    <s v="Running"/>
    <s v="F"/>
    <n v="30"/>
    <s v="Istanbul"/>
    <x v="6"/>
    <x v="1"/>
    <x v="25"/>
    <n v="627"/>
    <n v="40"/>
    <n v="33"/>
    <x v="18"/>
  </r>
  <r>
    <x v="1"/>
    <s v="Hiking"/>
    <s v="M"/>
    <n v="35"/>
    <s v="Istanbul"/>
    <x v="6"/>
    <x v="1"/>
    <x v="7"/>
    <n v="390"/>
    <n v="22"/>
    <n v="39"/>
    <x v="18"/>
  </r>
  <r>
    <x v="2"/>
    <s v="Casual"/>
    <s v="M"/>
    <n v="20"/>
    <s v="Istanbul"/>
    <x v="6"/>
    <x v="1"/>
    <x v="20"/>
    <n v="484"/>
    <n v="45"/>
    <n v="22"/>
    <x v="18"/>
  </r>
  <r>
    <x v="4"/>
    <s v="Casual"/>
    <s v="M"/>
    <n v="17"/>
    <s v="Istanbul"/>
    <x v="6"/>
    <x v="1"/>
    <x v="21"/>
    <n v="494"/>
    <n v="50"/>
    <n v="19"/>
    <x v="18"/>
  </r>
  <r>
    <x v="5"/>
    <s v="Running"/>
    <s v="M"/>
    <n v="33"/>
    <s v="Istanbul"/>
    <x v="6"/>
    <x v="1"/>
    <x v="14"/>
    <n v="532"/>
    <n v="30"/>
    <n v="38"/>
    <x v="18"/>
  </r>
  <r>
    <x v="0"/>
    <s v="Running"/>
    <s v="F"/>
    <n v="28"/>
    <s v="Istanbul"/>
    <x v="7"/>
    <x v="1"/>
    <x v="4"/>
    <n v="576"/>
    <n v="40"/>
    <n v="32"/>
    <x v="19"/>
  </r>
  <r>
    <x v="0"/>
    <s v="Running"/>
    <s v="F"/>
    <n v="28"/>
    <s v="Izmir"/>
    <x v="7"/>
    <x v="1"/>
    <x v="14"/>
    <n v="448"/>
    <n v="30"/>
    <n v="32"/>
    <x v="19"/>
  </r>
  <r>
    <x v="1"/>
    <s v="Hiking"/>
    <s v="F"/>
    <n v="32"/>
    <s v="Istanbul"/>
    <x v="7"/>
    <x v="1"/>
    <x v="13"/>
    <n v="468"/>
    <n v="30"/>
    <n v="36"/>
    <x v="19"/>
  </r>
  <r>
    <x v="2"/>
    <s v="Casual"/>
    <s v="F"/>
    <n v="18"/>
    <s v="Istanbul"/>
    <x v="7"/>
    <x v="1"/>
    <x v="17"/>
    <n v="460"/>
    <n v="45"/>
    <n v="20"/>
    <x v="19"/>
  </r>
  <r>
    <x v="2"/>
    <s v="Casual"/>
    <s v="F"/>
    <n v="18"/>
    <s v="Izmir"/>
    <x v="7"/>
    <x v="1"/>
    <x v="18"/>
    <n v="500"/>
    <n v="50"/>
    <n v="20"/>
    <x v="19"/>
  </r>
  <r>
    <x v="4"/>
    <s v="Casual"/>
    <s v="F"/>
    <n v="15"/>
    <s v="Istanbul"/>
    <x v="7"/>
    <x v="1"/>
    <x v="22"/>
    <n v="459"/>
    <n v="55"/>
    <n v="17"/>
    <x v="19"/>
  </r>
  <r>
    <x v="4"/>
    <s v="Casual"/>
    <s v="F"/>
    <n v="15"/>
    <s v="Izmir"/>
    <x v="7"/>
    <x v="1"/>
    <x v="18"/>
    <n v="425"/>
    <n v="50"/>
    <n v="17"/>
    <x v="19"/>
  </r>
  <r>
    <x v="0"/>
    <s v="Running"/>
    <s v="F"/>
    <n v="30"/>
    <s v="Istanbul"/>
    <x v="7"/>
    <x v="1"/>
    <x v="19"/>
    <n v="561"/>
    <n v="35"/>
    <n v="33"/>
    <x v="19"/>
  </r>
  <r>
    <x v="1"/>
    <s v="Hiking"/>
    <s v="M"/>
    <n v="35"/>
    <s v="Istanbul"/>
    <x v="7"/>
    <x v="1"/>
    <x v="15"/>
    <n v="351"/>
    <n v="20"/>
    <n v="39"/>
    <x v="19"/>
  </r>
  <r>
    <x v="2"/>
    <s v="Casual"/>
    <s v="M"/>
    <n v="20"/>
    <s v="Istanbul"/>
    <x v="7"/>
    <x v="1"/>
    <x v="27"/>
    <n v="440"/>
    <n v="40"/>
    <n v="22"/>
    <x v="19"/>
  </r>
  <r>
    <x v="4"/>
    <s v="Casual"/>
    <s v="M"/>
    <n v="17"/>
    <s v="Istanbul"/>
    <x v="7"/>
    <x v="1"/>
    <x v="27"/>
    <n v="456"/>
    <n v="45"/>
    <n v="19"/>
    <x v="19"/>
  </r>
  <r>
    <x v="5"/>
    <s v="Running"/>
    <s v="M"/>
    <n v="33"/>
    <s v="Istanbul"/>
    <x v="7"/>
    <x v="1"/>
    <x v="2"/>
    <n v="494"/>
    <n v="30"/>
    <n v="38"/>
    <x v="19"/>
  </r>
  <r>
    <x v="0"/>
    <s v="Running"/>
    <s v="F"/>
    <n v="28"/>
    <s v="Istanbul"/>
    <x v="8"/>
    <x v="1"/>
    <x v="5"/>
    <n v="480"/>
    <n v="35"/>
    <n v="32"/>
    <x v="20"/>
  </r>
  <r>
    <x v="0"/>
    <s v="Running"/>
    <s v="F"/>
    <n v="28"/>
    <s v="Izmir"/>
    <x v="8"/>
    <x v="1"/>
    <x v="2"/>
    <n v="384"/>
    <n v="25"/>
    <n v="32"/>
    <x v="20"/>
  </r>
  <r>
    <x v="1"/>
    <s v="Hiking"/>
    <s v="F"/>
    <n v="32"/>
    <s v="Istanbul"/>
    <x v="8"/>
    <x v="1"/>
    <x v="9"/>
    <n v="396"/>
    <n v="25"/>
    <n v="36"/>
    <x v="20"/>
  </r>
  <r>
    <x v="2"/>
    <s v="Casual"/>
    <s v="F"/>
    <n v="18"/>
    <s v="Istanbul"/>
    <x v="8"/>
    <x v="1"/>
    <x v="6"/>
    <n v="400"/>
    <n v="40"/>
    <n v="20"/>
    <x v="20"/>
  </r>
  <r>
    <x v="2"/>
    <s v="Casual"/>
    <s v="F"/>
    <n v="18"/>
    <s v="Izmir"/>
    <x v="8"/>
    <x v="1"/>
    <x v="26"/>
    <n v="440"/>
    <n v="45"/>
    <n v="20"/>
    <x v="20"/>
  </r>
  <r>
    <x v="4"/>
    <s v="Casual"/>
    <s v="F"/>
    <n v="15"/>
    <s v="Istanbul"/>
    <x v="8"/>
    <x v="1"/>
    <x v="18"/>
    <n v="425"/>
    <n v="50"/>
    <n v="17"/>
    <x v="20"/>
  </r>
  <r>
    <x v="4"/>
    <s v="Casual"/>
    <s v="F"/>
    <n v="15"/>
    <s v="Izmir"/>
    <x v="8"/>
    <x v="1"/>
    <x v="20"/>
    <n v="374"/>
    <n v="45"/>
    <n v="17"/>
    <x v="20"/>
  </r>
  <r>
    <x v="0"/>
    <s v="Running"/>
    <s v="F"/>
    <n v="30"/>
    <s v="Istanbul"/>
    <x v="8"/>
    <x v="1"/>
    <x v="14"/>
    <n v="462"/>
    <n v="30"/>
    <n v="33"/>
    <x v="20"/>
  </r>
  <r>
    <x v="1"/>
    <s v="Hiking"/>
    <s v="M"/>
    <n v="35"/>
    <s v="Istanbul"/>
    <x v="8"/>
    <x v="1"/>
    <x v="1"/>
    <n v="312"/>
    <n v="20"/>
    <n v="39"/>
    <x v="20"/>
  </r>
  <r>
    <x v="2"/>
    <s v="Casual"/>
    <s v="M"/>
    <n v="20"/>
    <s v="Istanbul"/>
    <x v="8"/>
    <x v="1"/>
    <x v="4"/>
    <n v="396"/>
    <n v="35"/>
    <n v="22"/>
    <x v="20"/>
  </r>
  <r>
    <x v="4"/>
    <s v="Casual"/>
    <s v="M"/>
    <n v="17"/>
    <s v="Istanbul"/>
    <x v="8"/>
    <x v="1"/>
    <x v="26"/>
    <n v="399"/>
    <n v="40"/>
    <n v="19"/>
    <x v="20"/>
  </r>
  <r>
    <x v="5"/>
    <s v="Running"/>
    <s v="M"/>
    <n v="33"/>
    <s v="Istanbul"/>
    <x v="8"/>
    <x v="1"/>
    <x v="9"/>
    <n v="418"/>
    <n v="25"/>
    <n v="38"/>
    <x v="20"/>
  </r>
  <r>
    <x v="0"/>
    <s v="Running"/>
    <s v="F"/>
    <n v="28"/>
    <s v="Istanbul"/>
    <x v="9"/>
    <x v="1"/>
    <x v="13"/>
    <n v="416"/>
    <n v="30"/>
    <n v="32"/>
    <x v="21"/>
  </r>
  <r>
    <x v="0"/>
    <s v="Running"/>
    <s v="F"/>
    <n v="28"/>
    <s v="Izmir"/>
    <x v="9"/>
    <x v="1"/>
    <x v="7"/>
    <n v="320"/>
    <n v="20"/>
    <n v="32"/>
    <x v="21"/>
  </r>
  <r>
    <x v="1"/>
    <s v="Hiking"/>
    <s v="F"/>
    <n v="32"/>
    <s v="Istanbul"/>
    <x v="9"/>
    <x v="1"/>
    <x v="15"/>
    <n v="360"/>
    <n v="22"/>
    <n v="36"/>
    <x v="21"/>
  </r>
  <r>
    <x v="2"/>
    <s v="Casual"/>
    <s v="F"/>
    <n v="18"/>
    <s v="Istanbul"/>
    <x v="9"/>
    <x v="1"/>
    <x v="4"/>
    <n v="360"/>
    <n v="35"/>
    <n v="20"/>
    <x v="21"/>
  </r>
  <r>
    <x v="3"/>
    <s v="Limited"/>
    <s v="F"/>
    <n v="45"/>
    <s v="Istanbul"/>
    <x v="9"/>
    <x v="1"/>
    <x v="12"/>
    <n v="260"/>
    <n v="12"/>
    <n v="52"/>
    <x v="21"/>
  </r>
  <r>
    <x v="4"/>
    <s v="Casual"/>
    <s v="F"/>
    <n v="15"/>
    <s v="Istanbul"/>
    <x v="9"/>
    <x v="1"/>
    <x v="20"/>
    <n v="374"/>
    <n v="45"/>
    <n v="17"/>
    <x v="21"/>
  </r>
  <r>
    <x v="4"/>
    <s v="Casual"/>
    <s v="F"/>
    <n v="15"/>
    <s v="Izmir"/>
    <x v="9"/>
    <x v="1"/>
    <x v="26"/>
    <n v="340"/>
    <n v="40"/>
    <n v="17"/>
    <x v="21"/>
  </r>
  <r>
    <x v="0"/>
    <s v="Running"/>
    <s v="F"/>
    <n v="30"/>
    <s v="Istanbul"/>
    <x v="9"/>
    <x v="1"/>
    <x v="2"/>
    <n v="396"/>
    <n v="25"/>
    <n v="33"/>
    <x v="21"/>
  </r>
  <r>
    <x v="1"/>
    <s v="Hiking"/>
    <s v="M"/>
    <n v="35"/>
    <s v="Istanbul"/>
    <x v="9"/>
    <x v="1"/>
    <x v="0"/>
    <n v="273"/>
    <n v="18"/>
    <n v="39"/>
    <x v="21"/>
  </r>
  <r>
    <x v="2"/>
    <s v="Casual"/>
    <s v="M"/>
    <n v="20"/>
    <s v="Istanbul"/>
    <x v="9"/>
    <x v="1"/>
    <x v="11"/>
    <n v="352"/>
    <n v="35"/>
    <n v="22"/>
    <x v="21"/>
  </r>
  <r>
    <x v="3"/>
    <s v="Limited"/>
    <s v="M"/>
    <n v="48"/>
    <s v="Istanbul"/>
    <x v="9"/>
    <x v="1"/>
    <x v="16"/>
    <n v="224"/>
    <n v="10"/>
    <n v="56"/>
    <x v="21"/>
  </r>
  <r>
    <x v="4"/>
    <s v="Casual"/>
    <s v="M"/>
    <n v="17"/>
    <s v="Istanbul"/>
    <x v="9"/>
    <x v="1"/>
    <x v="25"/>
    <n v="361"/>
    <n v="40"/>
    <n v="19"/>
    <x v="21"/>
  </r>
  <r>
    <x v="5"/>
    <s v="Running"/>
    <s v="M"/>
    <n v="33"/>
    <s v="Istanbul"/>
    <x v="9"/>
    <x v="1"/>
    <x v="7"/>
    <n v="380"/>
    <n v="22"/>
    <n v="38"/>
    <x v="21"/>
  </r>
  <r>
    <x v="0"/>
    <s v="Running"/>
    <s v="F"/>
    <n v="28"/>
    <s v="Istanbul"/>
    <x v="10"/>
    <x v="1"/>
    <x v="2"/>
    <n v="384"/>
    <n v="25"/>
    <n v="32"/>
    <x v="22"/>
  </r>
  <r>
    <x v="0"/>
    <s v="Running"/>
    <s v="F"/>
    <n v="28"/>
    <s v="Antalya"/>
    <x v="10"/>
    <x v="1"/>
    <x v="15"/>
    <n v="288"/>
    <n v="20"/>
    <n v="32"/>
    <x v="22"/>
  </r>
  <r>
    <x v="1"/>
    <s v="Hiking"/>
    <s v="F"/>
    <n v="32"/>
    <s v="Istanbul"/>
    <x v="10"/>
    <x v="1"/>
    <x v="15"/>
    <n v="324"/>
    <n v="20"/>
    <n v="36"/>
    <x v="22"/>
  </r>
  <r>
    <x v="2"/>
    <s v="Casual"/>
    <s v="F"/>
    <n v="18"/>
    <s v="Istanbul"/>
    <x v="10"/>
    <x v="1"/>
    <x v="6"/>
    <n v="320"/>
    <n v="35"/>
    <n v="20"/>
    <x v="22"/>
  </r>
  <r>
    <x v="2"/>
    <s v="Casual"/>
    <s v="F"/>
    <n v="18"/>
    <s v="Izmir"/>
    <x v="10"/>
    <x v="1"/>
    <x v="26"/>
    <n v="400"/>
    <n v="40"/>
    <n v="20"/>
    <x v="22"/>
  </r>
  <r>
    <x v="4"/>
    <s v="Casual"/>
    <s v="F"/>
    <n v="15"/>
    <s v="Istanbul"/>
    <x v="10"/>
    <x v="1"/>
    <x v="20"/>
    <n v="374"/>
    <n v="45"/>
    <n v="17"/>
    <x v="22"/>
  </r>
  <r>
    <x v="4"/>
    <s v="Casual"/>
    <s v="F"/>
    <n v="15"/>
    <s v="Antalya"/>
    <x v="10"/>
    <x v="1"/>
    <x v="4"/>
    <n v="306"/>
    <n v="35"/>
    <n v="17"/>
    <x v="22"/>
  </r>
  <r>
    <x v="0"/>
    <s v="Running"/>
    <s v="F"/>
    <n v="30"/>
    <s v="Istanbul"/>
    <x v="10"/>
    <x v="1"/>
    <x v="2"/>
    <n v="396"/>
    <n v="25"/>
    <n v="33"/>
    <x v="22"/>
  </r>
  <r>
    <x v="2"/>
    <s v="Casual"/>
    <s v="M"/>
    <n v="20"/>
    <s v="Istanbul"/>
    <x v="10"/>
    <x v="1"/>
    <x v="5"/>
    <n v="330"/>
    <n v="30"/>
    <n v="22"/>
    <x v="22"/>
  </r>
  <r>
    <x v="4"/>
    <s v="Casual"/>
    <s v="M"/>
    <n v="17"/>
    <s v="Istanbul"/>
    <x v="10"/>
    <x v="1"/>
    <x v="19"/>
    <n v="323"/>
    <n v="35"/>
    <n v="19"/>
    <x v="22"/>
  </r>
  <r>
    <x v="5"/>
    <s v="Running"/>
    <s v="M"/>
    <n v="33"/>
    <s v="Istanbul"/>
    <x v="10"/>
    <x v="1"/>
    <x v="15"/>
    <n v="342"/>
    <n v="20"/>
    <n v="38"/>
    <x v="22"/>
  </r>
  <r>
    <x v="0"/>
    <s v="Running"/>
    <s v="F"/>
    <n v="28"/>
    <s v="Istanbul"/>
    <x v="11"/>
    <x v="1"/>
    <x v="14"/>
    <n v="448"/>
    <n v="30"/>
    <n v="32"/>
    <x v="23"/>
  </r>
  <r>
    <x v="0"/>
    <s v="Running"/>
    <s v="F"/>
    <n v="28"/>
    <s v="Izmir"/>
    <x v="11"/>
    <x v="1"/>
    <x v="9"/>
    <n v="352"/>
    <n v="25"/>
    <n v="32"/>
    <x v="23"/>
  </r>
  <r>
    <x v="1"/>
    <s v="Hiking"/>
    <s v="F"/>
    <n v="32"/>
    <s v="Istanbul"/>
    <x v="11"/>
    <x v="1"/>
    <x v="9"/>
    <n v="396"/>
    <n v="25"/>
    <n v="36"/>
    <x v="23"/>
  </r>
  <r>
    <x v="2"/>
    <s v="Casual"/>
    <s v="F"/>
    <n v="18"/>
    <s v="Istanbul"/>
    <x v="11"/>
    <x v="1"/>
    <x v="4"/>
    <n v="360"/>
    <n v="35"/>
    <n v="20"/>
    <x v="23"/>
  </r>
  <r>
    <x v="3"/>
    <s v="Limited"/>
    <s v="F"/>
    <n v="45"/>
    <s v="Istanbul"/>
    <x v="11"/>
    <x v="1"/>
    <x v="8"/>
    <n v="312"/>
    <n v="15"/>
    <n v="52"/>
    <x v="23"/>
  </r>
  <r>
    <x v="4"/>
    <s v="Casual"/>
    <s v="F"/>
    <n v="15"/>
    <s v="Istanbul"/>
    <x v="11"/>
    <x v="1"/>
    <x v="27"/>
    <n v="408"/>
    <n v="50"/>
    <n v="17"/>
    <x v="23"/>
  </r>
  <r>
    <x v="4"/>
    <s v="Casual"/>
    <s v="F"/>
    <n v="15"/>
    <s v="Izmir"/>
    <x v="11"/>
    <x v="1"/>
    <x v="20"/>
    <n v="374"/>
    <n v="45"/>
    <n v="17"/>
    <x v="23"/>
  </r>
  <r>
    <x v="0"/>
    <s v="Running"/>
    <s v="F"/>
    <n v="30"/>
    <s v="Istanbul"/>
    <x v="11"/>
    <x v="1"/>
    <x v="5"/>
    <n v="495"/>
    <n v="30"/>
    <n v="33"/>
    <x v="23"/>
  </r>
  <r>
    <x v="1"/>
    <s v="Hiking"/>
    <s v="M"/>
    <n v="35"/>
    <s v="Istanbul"/>
    <x v="11"/>
    <x v="1"/>
    <x v="1"/>
    <n v="351"/>
    <n v="20"/>
    <n v="39"/>
    <x v="23"/>
  </r>
  <r>
    <x v="2"/>
    <s v="Casual"/>
    <s v="M"/>
    <n v="20"/>
    <s v="Istanbul"/>
    <x v="11"/>
    <x v="1"/>
    <x v="4"/>
    <n v="396"/>
    <n v="35"/>
    <n v="22"/>
    <x v="23"/>
  </r>
  <r>
    <x v="3"/>
    <s v="Limited"/>
    <s v="M"/>
    <n v="48"/>
    <s v="Istanbul"/>
    <x v="11"/>
    <x v="1"/>
    <x v="12"/>
    <n v="280"/>
    <n v="12"/>
    <n v="56"/>
    <x v="23"/>
  </r>
  <r>
    <x v="4"/>
    <s v="Casual"/>
    <s v="M"/>
    <n v="17"/>
    <s v="Istanbul"/>
    <x v="11"/>
    <x v="1"/>
    <x v="20"/>
    <n v="399"/>
    <n v="40"/>
    <n v="19"/>
    <x v="23"/>
  </r>
  <r>
    <x v="5"/>
    <s v="Running"/>
    <s v="M"/>
    <n v="33"/>
    <s v="Istanbul"/>
    <x v="11"/>
    <x v="1"/>
    <x v="9"/>
    <n v="456"/>
    <n v="25"/>
    <n v="38"/>
    <x v="23"/>
  </r>
  <r>
    <x v="0"/>
    <s v="Running"/>
    <s v="F"/>
    <n v="28"/>
    <s v="Istanbul"/>
    <x v="0"/>
    <x v="2"/>
    <x v="13"/>
    <n v="429"/>
    <n v="25"/>
    <n v="33"/>
    <x v="24"/>
  </r>
  <r>
    <x v="0"/>
    <s v="Running"/>
    <s v="F"/>
    <n v="28"/>
    <s v="Ankara"/>
    <x v="0"/>
    <x v="2"/>
    <x v="1"/>
    <n v="264"/>
    <n v="18"/>
    <n v="33"/>
    <x v="24"/>
  </r>
  <r>
    <x v="0"/>
    <s v="Running"/>
    <s v="F"/>
    <n v="28"/>
    <s v="Izmir"/>
    <x v="0"/>
    <x v="2"/>
    <x v="7"/>
    <n v="330"/>
    <n v="22"/>
    <n v="33"/>
    <x v="24"/>
  </r>
  <r>
    <x v="0"/>
    <s v="Running"/>
    <s v="F"/>
    <n v="28"/>
    <s v="Bursa"/>
    <x v="0"/>
    <x v="2"/>
    <x v="8"/>
    <n v="198"/>
    <n v="15"/>
    <n v="33"/>
    <x v="24"/>
  </r>
  <r>
    <x v="0"/>
    <s v="Running"/>
    <s v="F"/>
    <n v="28"/>
    <s v="Antalya"/>
    <x v="0"/>
    <x v="2"/>
    <x v="15"/>
    <n v="297"/>
    <n v="20"/>
    <n v="33"/>
    <x v="24"/>
  </r>
  <r>
    <x v="1"/>
    <s v="Hiking"/>
    <s v="F"/>
    <n v="32"/>
    <s v="Istanbul"/>
    <x v="0"/>
    <x v="2"/>
    <x v="15"/>
    <n v="342"/>
    <n v="20"/>
    <n v="38"/>
    <x v="24"/>
  </r>
  <r>
    <x v="1"/>
    <s v="Hiking"/>
    <s v="F"/>
    <n v="32"/>
    <s v="Ankara"/>
    <x v="0"/>
    <x v="2"/>
    <x v="8"/>
    <n v="228"/>
    <n v="15"/>
    <n v="38"/>
    <x v="24"/>
  </r>
  <r>
    <x v="2"/>
    <s v="Casual"/>
    <s v="F"/>
    <n v="18"/>
    <s v="Istanbul"/>
    <x v="0"/>
    <x v="2"/>
    <x v="5"/>
    <n v="315"/>
    <n v="30"/>
    <n v="21"/>
    <x v="24"/>
  </r>
  <r>
    <x v="2"/>
    <s v="Casual"/>
    <s v="F"/>
    <n v="18"/>
    <s v="Izmir"/>
    <x v="0"/>
    <x v="2"/>
    <x v="6"/>
    <n v="378"/>
    <n v="35"/>
    <n v="21"/>
    <x v="24"/>
  </r>
  <r>
    <x v="3"/>
    <s v="Limited"/>
    <s v="F"/>
    <n v="45"/>
    <s v="Istanbul"/>
    <x v="0"/>
    <x v="2"/>
    <x v="16"/>
    <n v="216"/>
    <n v="10"/>
    <n v="54"/>
    <x v="24"/>
  </r>
  <r>
    <x v="4"/>
    <s v="Casual"/>
    <s v="F"/>
    <n v="15"/>
    <s v="Istanbul"/>
    <x v="0"/>
    <x v="2"/>
    <x v="26"/>
    <n v="360"/>
    <n v="40"/>
    <n v="18"/>
    <x v="24"/>
  </r>
  <r>
    <x v="4"/>
    <s v="Casual"/>
    <s v="F"/>
    <n v="15"/>
    <s v="Izmir"/>
    <x v="0"/>
    <x v="2"/>
    <x v="26"/>
    <n v="396"/>
    <n v="45"/>
    <n v="18"/>
    <x v="24"/>
  </r>
  <r>
    <x v="0"/>
    <s v="Running"/>
    <s v="F"/>
    <n v="30"/>
    <s v="Istanbul"/>
    <x v="0"/>
    <x v="2"/>
    <x v="9"/>
    <n v="374"/>
    <n v="25"/>
    <n v="34"/>
    <x v="24"/>
  </r>
  <r>
    <x v="1"/>
    <s v="Hiking"/>
    <s v="M"/>
    <n v="35"/>
    <s v="Istanbul"/>
    <x v="0"/>
    <x v="2"/>
    <x v="0"/>
    <n v="287"/>
    <n v="18"/>
    <n v="41"/>
    <x v="24"/>
  </r>
  <r>
    <x v="2"/>
    <s v="Casual"/>
    <s v="M"/>
    <n v="20"/>
    <s v="Istanbul"/>
    <x v="0"/>
    <x v="2"/>
    <x v="14"/>
    <n v="322"/>
    <n v="30"/>
    <n v="23"/>
    <x v="24"/>
  </r>
  <r>
    <x v="3"/>
    <s v="Limited"/>
    <s v="M"/>
    <n v="48"/>
    <s v="Istanbul"/>
    <x v="0"/>
    <x v="2"/>
    <x v="3"/>
    <n v="177"/>
    <n v="8"/>
    <n v="59"/>
    <x v="24"/>
  </r>
  <r>
    <x v="4"/>
    <s v="Casual"/>
    <s v="M"/>
    <n v="17"/>
    <s v="Istanbul"/>
    <x v="0"/>
    <x v="2"/>
    <x v="11"/>
    <n v="336"/>
    <n v="35"/>
    <n v="21"/>
    <x v="24"/>
  </r>
  <r>
    <x v="5"/>
    <s v="Running"/>
    <s v="M"/>
    <n v="33"/>
    <s v="Istanbul"/>
    <x v="0"/>
    <x v="2"/>
    <x v="1"/>
    <n v="336"/>
    <n v="20"/>
    <n v="42"/>
    <x v="24"/>
  </r>
  <r>
    <x v="0"/>
    <s v="Running"/>
    <s v="F"/>
    <n v="28"/>
    <s v="Istanbul"/>
    <x v="1"/>
    <x v="2"/>
    <x v="7"/>
    <n v="330"/>
    <n v="20"/>
    <n v="33"/>
    <x v="25"/>
  </r>
  <r>
    <x v="0"/>
    <s v="Running"/>
    <s v="F"/>
    <n v="28"/>
    <s v="Izmir"/>
    <x v="1"/>
    <x v="2"/>
    <x v="1"/>
    <n v="264"/>
    <n v="18"/>
    <n v="33"/>
    <x v="25"/>
  </r>
  <r>
    <x v="1"/>
    <s v="Hiking"/>
    <s v="F"/>
    <n v="32"/>
    <s v="Istanbul"/>
    <x v="1"/>
    <x v="2"/>
    <x v="1"/>
    <n v="266"/>
    <n v="16"/>
    <n v="38"/>
    <x v="25"/>
  </r>
  <r>
    <x v="2"/>
    <s v="Casual"/>
    <s v="F"/>
    <n v="18"/>
    <s v="Istanbul"/>
    <x v="1"/>
    <x v="2"/>
    <x v="2"/>
    <n v="252"/>
    <n v="25"/>
    <n v="21"/>
    <x v="25"/>
  </r>
  <r>
    <x v="4"/>
    <s v="Casual"/>
    <s v="F"/>
    <n v="15"/>
    <s v="Istanbul"/>
    <x v="1"/>
    <x v="2"/>
    <x v="4"/>
    <n v="324"/>
    <n v="35"/>
    <n v="18"/>
    <x v="25"/>
  </r>
  <r>
    <x v="0"/>
    <s v="Running"/>
    <s v="F"/>
    <n v="30"/>
    <s v="Istanbul"/>
    <x v="1"/>
    <x v="2"/>
    <x v="15"/>
    <n v="306"/>
    <n v="20"/>
    <n v="34"/>
    <x v="25"/>
  </r>
  <r>
    <x v="1"/>
    <s v="Hiking"/>
    <s v="M"/>
    <n v="35"/>
    <s v="Istanbul"/>
    <x v="1"/>
    <x v="2"/>
    <x v="8"/>
    <n v="246"/>
    <n v="15"/>
    <n v="41"/>
    <x v="25"/>
  </r>
  <r>
    <x v="2"/>
    <s v="Casual"/>
    <s v="M"/>
    <n v="20"/>
    <s v="Istanbul"/>
    <x v="1"/>
    <x v="2"/>
    <x v="9"/>
    <n v="253"/>
    <n v="25"/>
    <n v="23"/>
    <x v="25"/>
  </r>
  <r>
    <x v="4"/>
    <s v="Casual"/>
    <s v="M"/>
    <n v="17"/>
    <s v="Istanbul"/>
    <x v="1"/>
    <x v="2"/>
    <x v="14"/>
    <n v="294"/>
    <n v="30"/>
    <n v="21"/>
    <x v="25"/>
  </r>
  <r>
    <x v="5"/>
    <s v="Running"/>
    <s v="M"/>
    <n v="33"/>
    <s v="Istanbul"/>
    <x v="1"/>
    <x v="2"/>
    <x v="0"/>
    <n v="294"/>
    <n v="16"/>
    <n v="42"/>
    <x v="25"/>
  </r>
  <r>
    <x v="0"/>
    <s v="Running"/>
    <s v="F"/>
    <n v="28"/>
    <s v="Istanbul"/>
    <x v="2"/>
    <x v="2"/>
    <x v="14"/>
    <n v="462"/>
    <n v="25"/>
    <n v="33"/>
    <x v="26"/>
  </r>
  <r>
    <x v="0"/>
    <s v="Running"/>
    <s v="F"/>
    <n v="28"/>
    <s v="Antalya"/>
    <x v="2"/>
    <x v="2"/>
    <x v="7"/>
    <n v="330"/>
    <n v="20"/>
    <n v="33"/>
    <x v="26"/>
  </r>
  <r>
    <x v="1"/>
    <s v="Hiking"/>
    <s v="F"/>
    <n v="32"/>
    <s v="Istanbul"/>
    <x v="2"/>
    <x v="2"/>
    <x v="15"/>
    <n v="304"/>
    <n v="18"/>
    <n v="38"/>
    <x v="26"/>
  </r>
  <r>
    <x v="2"/>
    <s v="Casual"/>
    <s v="F"/>
    <n v="18"/>
    <s v="Istanbul"/>
    <x v="2"/>
    <x v="2"/>
    <x v="11"/>
    <n v="336"/>
    <n v="35"/>
    <n v="21"/>
    <x v="26"/>
  </r>
  <r>
    <x v="2"/>
    <s v="Casual"/>
    <s v="F"/>
    <n v="18"/>
    <s v="Izmir"/>
    <x v="2"/>
    <x v="2"/>
    <x v="20"/>
    <n v="420"/>
    <n v="40"/>
    <n v="21"/>
    <x v="26"/>
  </r>
  <r>
    <x v="4"/>
    <s v="Casual"/>
    <s v="F"/>
    <n v="15"/>
    <s v="Istanbul"/>
    <x v="2"/>
    <x v="2"/>
    <x v="20"/>
    <n v="396"/>
    <n v="45"/>
    <n v="18"/>
    <x v="26"/>
  </r>
  <r>
    <x v="4"/>
    <s v="Casual"/>
    <s v="F"/>
    <n v="15"/>
    <s v="Antalya"/>
    <x v="2"/>
    <x v="2"/>
    <x v="4"/>
    <n v="324"/>
    <n v="35"/>
    <n v="18"/>
    <x v="26"/>
  </r>
  <r>
    <x v="0"/>
    <s v="Running"/>
    <s v="F"/>
    <n v="30"/>
    <s v="Istanbul"/>
    <x v="2"/>
    <x v="2"/>
    <x v="2"/>
    <n v="408"/>
    <n v="25"/>
    <n v="34"/>
    <x v="26"/>
  </r>
  <r>
    <x v="2"/>
    <s v="Casual"/>
    <s v="M"/>
    <n v="20"/>
    <s v="Istanbul"/>
    <x v="2"/>
    <x v="2"/>
    <x v="5"/>
    <n v="345"/>
    <n v="30"/>
    <n v="23"/>
    <x v="26"/>
  </r>
  <r>
    <x v="4"/>
    <s v="Casual"/>
    <s v="M"/>
    <n v="17"/>
    <s v="Istanbul"/>
    <x v="2"/>
    <x v="2"/>
    <x v="4"/>
    <n v="357"/>
    <n v="35"/>
    <n v="21"/>
    <x v="26"/>
  </r>
  <r>
    <x v="5"/>
    <s v="Running"/>
    <s v="M"/>
    <n v="33"/>
    <s v="Istanbul"/>
    <x v="2"/>
    <x v="2"/>
    <x v="15"/>
    <n v="378"/>
    <n v="20"/>
    <n v="42"/>
    <x v="26"/>
  </r>
  <r>
    <x v="0"/>
    <s v="Running"/>
    <s v="F"/>
    <n v="28"/>
    <s v="Istanbul"/>
    <x v="3"/>
    <x v="2"/>
    <x v="11"/>
    <n v="528"/>
    <n v="30"/>
    <n v="33"/>
    <x v="27"/>
  </r>
  <r>
    <x v="0"/>
    <s v="Running"/>
    <s v="F"/>
    <n v="28"/>
    <s v="Izmir"/>
    <x v="3"/>
    <x v="2"/>
    <x v="2"/>
    <n v="396"/>
    <n v="25"/>
    <n v="33"/>
    <x v="27"/>
  </r>
  <r>
    <x v="1"/>
    <s v="Hiking"/>
    <s v="F"/>
    <n v="32"/>
    <s v="Istanbul"/>
    <x v="3"/>
    <x v="2"/>
    <x v="7"/>
    <n v="380"/>
    <n v="22"/>
    <n v="38"/>
    <x v="27"/>
  </r>
  <r>
    <x v="2"/>
    <s v="Casual"/>
    <s v="F"/>
    <n v="18"/>
    <s v="Istanbul"/>
    <x v="3"/>
    <x v="2"/>
    <x v="4"/>
    <n v="378"/>
    <n v="35"/>
    <n v="21"/>
    <x v="27"/>
  </r>
  <r>
    <x v="3"/>
    <s v="Limited"/>
    <s v="F"/>
    <n v="45"/>
    <s v="Istanbul"/>
    <x v="3"/>
    <x v="2"/>
    <x v="12"/>
    <n v="270"/>
    <n v="12"/>
    <n v="54"/>
    <x v="27"/>
  </r>
  <r>
    <x v="4"/>
    <s v="Casual"/>
    <s v="F"/>
    <n v="15"/>
    <s v="Istanbul"/>
    <x v="3"/>
    <x v="2"/>
    <x v="18"/>
    <n v="450"/>
    <n v="50"/>
    <n v="18"/>
    <x v="27"/>
  </r>
  <r>
    <x v="4"/>
    <s v="Casual"/>
    <s v="F"/>
    <n v="15"/>
    <s v="Izmir"/>
    <x v="3"/>
    <x v="2"/>
    <x v="20"/>
    <n v="396"/>
    <n v="45"/>
    <n v="18"/>
    <x v="27"/>
  </r>
  <r>
    <x v="0"/>
    <s v="Running"/>
    <s v="F"/>
    <n v="30"/>
    <s v="Istanbul"/>
    <x v="3"/>
    <x v="2"/>
    <x v="14"/>
    <n v="476"/>
    <n v="30"/>
    <n v="34"/>
    <x v="27"/>
  </r>
  <r>
    <x v="1"/>
    <s v="Hiking"/>
    <s v="M"/>
    <n v="35"/>
    <s v="Istanbul"/>
    <x v="3"/>
    <x v="2"/>
    <x v="1"/>
    <n v="328"/>
    <n v="20"/>
    <n v="41"/>
    <x v="27"/>
  </r>
  <r>
    <x v="2"/>
    <s v="Casual"/>
    <s v="M"/>
    <n v="20"/>
    <s v="Istanbul"/>
    <x v="3"/>
    <x v="2"/>
    <x v="5"/>
    <n v="368"/>
    <n v="35"/>
    <n v="23"/>
    <x v="27"/>
  </r>
  <r>
    <x v="3"/>
    <s v="Limited"/>
    <s v="M"/>
    <n v="48"/>
    <s v="Istanbul"/>
    <x v="3"/>
    <x v="2"/>
    <x v="16"/>
    <n v="236"/>
    <n v="10"/>
    <n v="59"/>
    <x v="27"/>
  </r>
  <r>
    <x v="4"/>
    <s v="Casual"/>
    <s v="M"/>
    <n v="17"/>
    <s v="Istanbul"/>
    <x v="3"/>
    <x v="2"/>
    <x v="25"/>
    <n v="399"/>
    <n v="40"/>
    <n v="21"/>
    <x v="27"/>
  </r>
  <r>
    <x v="5"/>
    <s v="Running"/>
    <s v="M"/>
    <n v="33"/>
    <s v="Istanbul"/>
    <x v="3"/>
    <x v="2"/>
    <x v="9"/>
    <n v="420"/>
    <n v="22"/>
    <n v="42"/>
    <x v="27"/>
  </r>
  <r>
    <x v="0"/>
    <s v="Running"/>
    <s v="F"/>
    <n v="28"/>
    <s v="Istanbul"/>
    <x v="4"/>
    <x v="2"/>
    <x v="4"/>
    <n v="594"/>
    <n v="35"/>
    <n v="33"/>
    <x v="28"/>
  </r>
  <r>
    <x v="0"/>
    <s v="Running"/>
    <s v="F"/>
    <n v="28"/>
    <s v="Antalya"/>
    <x v="4"/>
    <x v="2"/>
    <x v="14"/>
    <n v="462"/>
    <n v="30"/>
    <n v="33"/>
    <x v="28"/>
  </r>
  <r>
    <x v="1"/>
    <s v="Hiking"/>
    <s v="F"/>
    <n v="32"/>
    <s v="Istanbul"/>
    <x v="4"/>
    <x v="2"/>
    <x v="2"/>
    <n v="456"/>
    <n v="25"/>
    <n v="38"/>
    <x v="28"/>
  </r>
  <r>
    <x v="2"/>
    <s v="Casual"/>
    <s v="F"/>
    <n v="18"/>
    <s v="Istanbul"/>
    <x v="4"/>
    <x v="2"/>
    <x v="6"/>
    <n v="420"/>
    <n v="40"/>
    <n v="21"/>
    <x v="28"/>
  </r>
  <r>
    <x v="2"/>
    <s v="Casual"/>
    <s v="F"/>
    <n v="18"/>
    <s v="Konya"/>
    <x v="4"/>
    <x v="2"/>
    <x v="13"/>
    <n v="252"/>
    <n v="25"/>
    <n v="21"/>
    <x v="28"/>
  </r>
  <r>
    <x v="4"/>
    <s v="Casual"/>
    <s v="F"/>
    <n v="15"/>
    <s v="Istanbul"/>
    <x v="4"/>
    <x v="2"/>
    <x v="18"/>
    <n v="450"/>
    <n v="50"/>
    <n v="18"/>
    <x v="28"/>
  </r>
  <r>
    <x v="4"/>
    <s v="Casual"/>
    <s v="F"/>
    <n v="15"/>
    <s v="Antalya"/>
    <x v="4"/>
    <x v="2"/>
    <x v="6"/>
    <n v="360"/>
    <n v="40"/>
    <n v="18"/>
    <x v="28"/>
  </r>
  <r>
    <x v="0"/>
    <s v="Running"/>
    <s v="F"/>
    <n v="30"/>
    <s v="Istanbul"/>
    <x v="4"/>
    <x v="2"/>
    <x v="5"/>
    <n v="510"/>
    <n v="30"/>
    <n v="34"/>
    <x v="28"/>
  </r>
  <r>
    <x v="2"/>
    <s v="Casual"/>
    <s v="M"/>
    <n v="20"/>
    <s v="Istanbul"/>
    <x v="4"/>
    <x v="2"/>
    <x v="19"/>
    <n v="391"/>
    <n v="35"/>
    <n v="23"/>
    <x v="28"/>
  </r>
  <r>
    <x v="4"/>
    <s v="Casual"/>
    <s v="M"/>
    <n v="17"/>
    <s v="Istanbul"/>
    <x v="4"/>
    <x v="2"/>
    <x v="26"/>
    <n v="420"/>
    <n v="40"/>
    <n v="21"/>
    <x v="28"/>
  </r>
  <r>
    <x v="5"/>
    <s v="Running"/>
    <s v="M"/>
    <n v="33"/>
    <s v="Istanbul"/>
    <x v="4"/>
    <x v="2"/>
    <x v="7"/>
    <n v="420"/>
    <n v="22"/>
    <n v="42"/>
    <x v="28"/>
  </r>
  <r>
    <x v="0"/>
    <s v="Running"/>
    <s v="F"/>
    <n v="28"/>
    <s v="Istanbul"/>
    <x v="5"/>
    <x v="2"/>
    <x v="4"/>
    <n v="594"/>
    <n v="40"/>
    <n v="33"/>
    <x v="29"/>
  </r>
  <r>
    <x v="0"/>
    <s v="Running"/>
    <s v="F"/>
    <n v="28"/>
    <s v="Izmir"/>
    <x v="5"/>
    <x v="2"/>
    <x v="5"/>
    <n v="495"/>
    <n v="30"/>
    <n v="33"/>
    <x v="29"/>
  </r>
  <r>
    <x v="1"/>
    <s v="Hiking"/>
    <s v="F"/>
    <n v="32"/>
    <s v="Istanbul"/>
    <x v="5"/>
    <x v="2"/>
    <x v="2"/>
    <n v="456"/>
    <n v="25"/>
    <n v="38"/>
    <x v="29"/>
  </r>
  <r>
    <x v="2"/>
    <s v="Casual"/>
    <s v="F"/>
    <n v="18"/>
    <s v="Istanbul"/>
    <x v="5"/>
    <x v="2"/>
    <x v="20"/>
    <n v="462"/>
    <n v="45"/>
    <n v="21"/>
    <x v="29"/>
  </r>
  <r>
    <x v="2"/>
    <s v="Casual"/>
    <s v="F"/>
    <n v="18"/>
    <s v="Izmir"/>
    <x v="5"/>
    <x v="2"/>
    <x v="18"/>
    <n v="525"/>
    <n v="50"/>
    <n v="21"/>
    <x v="29"/>
  </r>
  <r>
    <x v="4"/>
    <s v="Casual"/>
    <s v="F"/>
    <n v="15"/>
    <s v="Istanbul"/>
    <x v="5"/>
    <x v="2"/>
    <x v="24"/>
    <n v="504"/>
    <n v="55"/>
    <n v="18"/>
    <x v="29"/>
  </r>
  <r>
    <x v="4"/>
    <s v="Casual"/>
    <s v="F"/>
    <n v="15"/>
    <s v="Izmir"/>
    <x v="5"/>
    <x v="2"/>
    <x v="21"/>
    <n v="450"/>
    <n v="50"/>
    <n v="18"/>
    <x v="29"/>
  </r>
  <r>
    <x v="4"/>
    <s v="Casual"/>
    <s v="F"/>
    <n v="15"/>
    <s v="Antalya"/>
    <x v="5"/>
    <x v="2"/>
    <x v="20"/>
    <n v="396"/>
    <n v="45"/>
    <n v="18"/>
    <x v="29"/>
  </r>
  <r>
    <x v="0"/>
    <s v="Running"/>
    <s v="F"/>
    <n v="30"/>
    <s v="Istanbul"/>
    <x v="5"/>
    <x v="2"/>
    <x v="19"/>
    <n v="578"/>
    <n v="35"/>
    <n v="34"/>
    <x v="29"/>
  </r>
  <r>
    <x v="1"/>
    <s v="Hiking"/>
    <s v="M"/>
    <n v="35"/>
    <s v="Istanbul"/>
    <x v="5"/>
    <x v="2"/>
    <x v="15"/>
    <n v="369"/>
    <n v="20"/>
    <n v="41"/>
    <x v="29"/>
  </r>
  <r>
    <x v="2"/>
    <s v="Casual"/>
    <s v="M"/>
    <n v="20"/>
    <s v="Istanbul"/>
    <x v="5"/>
    <x v="2"/>
    <x v="6"/>
    <n v="437"/>
    <n v="40"/>
    <n v="23"/>
    <x v="29"/>
  </r>
  <r>
    <x v="4"/>
    <s v="Casual"/>
    <s v="M"/>
    <n v="17"/>
    <s v="Istanbul"/>
    <x v="5"/>
    <x v="2"/>
    <x v="17"/>
    <n v="483"/>
    <n v="45"/>
    <n v="21"/>
    <x v="29"/>
  </r>
  <r>
    <x v="5"/>
    <s v="Running"/>
    <s v="M"/>
    <n v="33"/>
    <s v="Istanbul"/>
    <x v="5"/>
    <x v="2"/>
    <x v="2"/>
    <n v="504"/>
    <n v="25"/>
    <n v="42"/>
    <x v="29"/>
  </r>
  <r>
    <x v="0"/>
    <s v="Running"/>
    <s v="F"/>
    <n v="28"/>
    <s v="Istanbul"/>
    <x v="6"/>
    <x v="2"/>
    <x v="6"/>
    <n v="660"/>
    <n v="45"/>
    <n v="33"/>
    <x v="30"/>
  </r>
  <r>
    <x v="0"/>
    <s v="Running"/>
    <s v="F"/>
    <n v="28"/>
    <s v="Antalya"/>
    <x v="6"/>
    <x v="2"/>
    <x v="11"/>
    <n v="528"/>
    <n v="35"/>
    <n v="33"/>
    <x v="30"/>
  </r>
  <r>
    <x v="1"/>
    <s v="Hiking"/>
    <s v="F"/>
    <n v="32"/>
    <s v="Istanbul"/>
    <x v="6"/>
    <x v="2"/>
    <x v="5"/>
    <n v="532"/>
    <n v="30"/>
    <n v="38"/>
    <x v="30"/>
  </r>
  <r>
    <x v="2"/>
    <s v="Casual"/>
    <s v="F"/>
    <n v="18"/>
    <s v="Istanbul"/>
    <x v="6"/>
    <x v="2"/>
    <x v="27"/>
    <n v="525"/>
    <n v="50"/>
    <n v="21"/>
    <x v="30"/>
  </r>
  <r>
    <x v="2"/>
    <s v="Casual"/>
    <s v="F"/>
    <n v="18"/>
    <s v="Izmir"/>
    <x v="6"/>
    <x v="2"/>
    <x v="23"/>
    <n v="588"/>
    <n v="55"/>
    <n v="21"/>
    <x v="30"/>
  </r>
  <r>
    <x v="4"/>
    <s v="Casual"/>
    <s v="F"/>
    <n v="15"/>
    <s v="Istanbul"/>
    <x v="6"/>
    <x v="2"/>
    <x v="23"/>
    <n v="540"/>
    <n v="60"/>
    <n v="18"/>
    <x v="30"/>
  </r>
  <r>
    <x v="4"/>
    <s v="Casual"/>
    <s v="F"/>
    <n v="15"/>
    <s v="Izmir"/>
    <x v="6"/>
    <x v="2"/>
    <x v="24"/>
    <n v="504"/>
    <n v="55"/>
    <n v="18"/>
    <x v="30"/>
  </r>
  <r>
    <x v="4"/>
    <s v="Casual"/>
    <s v="F"/>
    <n v="15"/>
    <s v="Antalya"/>
    <x v="6"/>
    <x v="2"/>
    <x v="18"/>
    <n v="450"/>
    <n v="50"/>
    <n v="18"/>
    <x v="30"/>
  </r>
  <r>
    <x v="0"/>
    <s v="Running"/>
    <s v="F"/>
    <n v="30"/>
    <s v="Istanbul"/>
    <x v="6"/>
    <x v="2"/>
    <x v="25"/>
    <n v="646"/>
    <n v="40"/>
    <n v="34"/>
    <x v="30"/>
  </r>
  <r>
    <x v="1"/>
    <s v="Hiking"/>
    <s v="M"/>
    <n v="35"/>
    <s v="Istanbul"/>
    <x v="6"/>
    <x v="2"/>
    <x v="7"/>
    <n v="410"/>
    <n v="22"/>
    <n v="41"/>
    <x v="30"/>
  </r>
  <r>
    <x v="2"/>
    <s v="Casual"/>
    <s v="M"/>
    <n v="20"/>
    <s v="Istanbul"/>
    <x v="6"/>
    <x v="2"/>
    <x v="20"/>
    <n v="506"/>
    <n v="45"/>
    <n v="23"/>
    <x v="30"/>
  </r>
  <r>
    <x v="4"/>
    <s v="Casual"/>
    <s v="M"/>
    <n v="17"/>
    <s v="Istanbul"/>
    <x v="6"/>
    <x v="2"/>
    <x v="21"/>
    <n v="546"/>
    <n v="50"/>
    <n v="21"/>
    <x v="30"/>
  </r>
  <r>
    <x v="5"/>
    <s v="Running"/>
    <s v="M"/>
    <n v="33"/>
    <s v="Istanbul"/>
    <x v="6"/>
    <x v="2"/>
    <x v="14"/>
    <n v="588"/>
    <n v="30"/>
    <n v="42"/>
    <x v="30"/>
  </r>
  <r>
    <x v="0"/>
    <s v="Running"/>
    <s v="F"/>
    <n v="28"/>
    <s v="Istanbul"/>
    <x v="7"/>
    <x v="2"/>
    <x v="4"/>
    <n v="594"/>
    <n v="40"/>
    <n v="33"/>
    <x v="31"/>
  </r>
  <r>
    <x v="0"/>
    <s v="Running"/>
    <s v="F"/>
    <n v="28"/>
    <s v="Izmir"/>
    <x v="7"/>
    <x v="2"/>
    <x v="14"/>
    <n v="462"/>
    <n v="30"/>
    <n v="33"/>
    <x v="31"/>
  </r>
  <r>
    <x v="1"/>
    <s v="Hiking"/>
    <s v="F"/>
    <n v="32"/>
    <s v="Istanbul"/>
    <x v="7"/>
    <x v="2"/>
    <x v="13"/>
    <n v="494"/>
    <n v="30"/>
    <n v="38"/>
    <x v="31"/>
  </r>
  <r>
    <x v="2"/>
    <s v="Casual"/>
    <s v="F"/>
    <n v="18"/>
    <s v="Istanbul"/>
    <x v="7"/>
    <x v="2"/>
    <x v="17"/>
    <n v="483"/>
    <n v="45"/>
    <n v="21"/>
    <x v="31"/>
  </r>
  <r>
    <x v="2"/>
    <s v="Casual"/>
    <s v="F"/>
    <n v="18"/>
    <s v="Izmir"/>
    <x v="7"/>
    <x v="2"/>
    <x v="18"/>
    <n v="525"/>
    <n v="50"/>
    <n v="21"/>
    <x v="31"/>
  </r>
  <r>
    <x v="4"/>
    <s v="Casual"/>
    <s v="F"/>
    <n v="15"/>
    <s v="Istanbul"/>
    <x v="7"/>
    <x v="2"/>
    <x v="22"/>
    <n v="486"/>
    <n v="55"/>
    <n v="18"/>
    <x v="31"/>
  </r>
  <r>
    <x v="4"/>
    <s v="Casual"/>
    <s v="F"/>
    <n v="15"/>
    <s v="Izmir"/>
    <x v="7"/>
    <x v="2"/>
    <x v="18"/>
    <n v="450"/>
    <n v="50"/>
    <n v="18"/>
    <x v="31"/>
  </r>
  <r>
    <x v="0"/>
    <s v="Running"/>
    <s v="F"/>
    <n v="30"/>
    <s v="Istanbul"/>
    <x v="7"/>
    <x v="2"/>
    <x v="19"/>
    <n v="578"/>
    <n v="35"/>
    <n v="34"/>
    <x v="31"/>
  </r>
  <r>
    <x v="1"/>
    <s v="Hiking"/>
    <s v="M"/>
    <n v="35"/>
    <s v="Istanbul"/>
    <x v="7"/>
    <x v="2"/>
    <x v="15"/>
    <n v="369"/>
    <n v="20"/>
    <n v="41"/>
    <x v="31"/>
  </r>
  <r>
    <x v="2"/>
    <s v="Casual"/>
    <s v="M"/>
    <n v="20"/>
    <s v="Istanbul"/>
    <x v="7"/>
    <x v="2"/>
    <x v="27"/>
    <n v="460"/>
    <n v="40"/>
    <n v="23"/>
    <x v="31"/>
  </r>
  <r>
    <x v="4"/>
    <s v="Casual"/>
    <s v="M"/>
    <n v="17"/>
    <s v="Istanbul"/>
    <x v="7"/>
    <x v="2"/>
    <x v="27"/>
    <n v="504"/>
    <n v="45"/>
    <n v="21"/>
    <x v="31"/>
  </r>
  <r>
    <x v="5"/>
    <s v="Running"/>
    <s v="M"/>
    <n v="33"/>
    <s v="Istanbul"/>
    <x v="7"/>
    <x v="2"/>
    <x v="14"/>
    <n v="546"/>
    <n v="30"/>
    <n v="42"/>
    <x v="31"/>
  </r>
  <r>
    <x v="0"/>
    <s v="Running"/>
    <s v="F"/>
    <n v="28"/>
    <s v="Istanbul"/>
    <x v="8"/>
    <x v="2"/>
    <x v="5"/>
    <n v="495"/>
    <n v="35"/>
    <n v="33"/>
    <x v="32"/>
  </r>
  <r>
    <x v="0"/>
    <s v="Running"/>
    <s v="F"/>
    <n v="28"/>
    <s v="Izmir"/>
    <x v="8"/>
    <x v="2"/>
    <x v="2"/>
    <n v="396"/>
    <n v="25"/>
    <n v="33"/>
    <x v="32"/>
  </r>
  <r>
    <x v="1"/>
    <s v="Hiking"/>
    <s v="F"/>
    <n v="32"/>
    <s v="Istanbul"/>
    <x v="8"/>
    <x v="2"/>
    <x v="9"/>
    <n v="418"/>
    <n v="25"/>
    <n v="38"/>
    <x v="32"/>
  </r>
  <r>
    <x v="2"/>
    <s v="Casual"/>
    <s v="F"/>
    <n v="18"/>
    <s v="Istanbul"/>
    <x v="8"/>
    <x v="2"/>
    <x v="6"/>
    <n v="420"/>
    <n v="40"/>
    <n v="21"/>
    <x v="32"/>
  </r>
  <r>
    <x v="2"/>
    <s v="Casual"/>
    <s v="F"/>
    <n v="18"/>
    <s v="Izmir"/>
    <x v="8"/>
    <x v="2"/>
    <x v="20"/>
    <n v="462"/>
    <n v="45"/>
    <n v="21"/>
    <x v="32"/>
  </r>
  <r>
    <x v="4"/>
    <s v="Casual"/>
    <s v="F"/>
    <n v="15"/>
    <s v="Istanbul"/>
    <x v="8"/>
    <x v="2"/>
    <x v="21"/>
    <n v="450"/>
    <n v="50"/>
    <n v="18"/>
    <x v="32"/>
  </r>
  <r>
    <x v="4"/>
    <s v="Casual"/>
    <s v="F"/>
    <n v="15"/>
    <s v="Izmir"/>
    <x v="8"/>
    <x v="2"/>
    <x v="20"/>
    <n v="396"/>
    <n v="45"/>
    <n v="18"/>
    <x v="32"/>
  </r>
  <r>
    <x v="0"/>
    <s v="Running"/>
    <s v="F"/>
    <n v="30"/>
    <s v="Istanbul"/>
    <x v="8"/>
    <x v="2"/>
    <x v="14"/>
    <n v="476"/>
    <n v="30"/>
    <n v="34"/>
    <x v="32"/>
  </r>
  <r>
    <x v="1"/>
    <s v="Hiking"/>
    <s v="M"/>
    <n v="35"/>
    <s v="Istanbul"/>
    <x v="8"/>
    <x v="2"/>
    <x v="15"/>
    <n v="328"/>
    <n v="20"/>
    <n v="41"/>
    <x v="32"/>
  </r>
  <r>
    <x v="2"/>
    <s v="Casual"/>
    <s v="M"/>
    <n v="20"/>
    <s v="Istanbul"/>
    <x v="8"/>
    <x v="2"/>
    <x v="19"/>
    <n v="414"/>
    <n v="35"/>
    <n v="23"/>
    <x v="32"/>
  </r>
  <r>
    <x v="4"/>
    <s v="Casual"/>
    <s v="M"/>
    <n v="17"/>
    <s v="Istanbul"/>
    <x v="8"/>
    <x v="2"/>
    <x v="26"/>
    <n v="441"/>
    <n v="40"/>
    <n v="21"/>
    <x v="32"/>
  </r>
  <r>
    <x v="5"/>
    <s v="Running"/>
    <s v="M"/>
    <n v="33"/>
    <s v="Istanbul"/>
    <x v="8"/>
    <x v="2"/>
    <x v="9"/>
    <n v="462"/>
    <n v="25"/>
    <n v="42"/>
    <x v="32"/>
  </r>
  <r>
    <x v="0"/>
    <s v="Running"/>
    <s v="F"/>
    <n v="28"/>
    <s v="Istanbul"/>
    <x v="9"/>
    <x v="2"/>
    <x v="13"/>
    <n v="429"/>
    <n v="30"/>
    <n v="33"/>
    <x v="33"/>
  </r>
  <r>
    <x v="0"/>
    <s v="Running"/>
    <s v="F"/>
    <n v="28"/>
    <s v="Izmir"/>
    <x v="9"/>
    <x v="2"/>
    <x v="7"/>
    <n v="330"/>
    <n v="20"/>
    <n v="33"/>
    <x v="33"/>
  </r>
  <r>
    <x v="1"/>
    <s v="Hiking"/>
    <s v="F"/>
    <n v="32"/>
    <s v="Istanbul"/>
    <x v="9"/>
    <x v="2"/>
    <x v="7"/>
    <n v="380"/>
    <n v="22"/>
    <n v="38"/>
    <x v="33"/>
  </r>
  <r>
    <x v="2"/>
    <s v="Casual"/>
    <s v="F"/>
    <n v="18"/>
    <s v="Istanbul"/>
    <x v="9"/>
    <x v="2"/>
    <x v="4"/>
    <n v="378"/>
    <n v="35"/>
    <n v="21"/>
    <x v="33"/>
  </r>
  <r>
    <x v="3"/>
    <s v="Limited"/>
    <s v="F"/>
    <n v="45"/>
    <s v="Istanbul"/>
    <x v="9"/>
    <x v="2"/>
    <x v="12"/>
    <n v="270"/>
    <n v="12"/>
    <n v="54"/>
    <x v="33"/>
  </r>
  <r>
    <x v="4"/>
    <s v="Casual"/>
    <s v="F"/>
    <n v="15"/>
    <s v="Istanbul"/>
    <x v="9"/>
    <x v="2"/>
    <x v="20"/>
    <n v="396"/>
    <n v="45"/>
    <n v="18"/>
    <x v="33"/>
  </r>
  <r>
    <x v="4"/>
    <s v="Casual"/>
    <s v="F"/>
    <n v="15"/>
    <s v="Izmir"/>
    <x v="9"/>
    <x v="2"/>
    <x v="6"/>
    <n v="360"/>
    <n v="40"/>
    <n v="18"/>
    <x v="33"/>
  </r>
  <r>
    <x v="0"/>
    <s v="Running"/>
    <s v="F"/>
    <n v="30"/>
    <s v="Istanbul"/>
    <x v="9"/>
    <x v="2"/>
    <x v="2"/>
    <n v="408"/>
    <n v="25"/>
    <n v="34"/>
    <x v="33"/>
  </r>
  <r>
    <x v="1"/>
    <s v="Hiking"/>
    <s v="M"/>
    <n v="35"/>
    <s v="Istanbul"/>
    <x v="9"/>
    <x v="2"/>
    <x v="0"/>
    <n v="287"/>
    <n v="18"/>
    <n v="41"/>
    <x v="33"/>
  </r>
  <r>
    <x v="2"/>
    <s v="Casual"/>
    <s v="M"/>
    <n v="20"/>
    <s v="Istanbul"/>
    <x v="9"/>
    <x v="2"/>
    <x v="4"/>
    <n v="368"/>
    <n v="35"/>
    <n v="23"/>
    <x v="33"/>
  </r>
  <r>
    <x v="3"/>
    <s v="Limited"/>
    <s v="M"/>
    <n v="48"/>
    <s v="Istanbul"/>
    <x v="9"/>
    <x v="2"/>
    <x v="16"/>
    <n v="236"/>
    <n v="10"/>
    <n v="59"/>
    <x v="33"/>
  </r>
  <r>
    <x v="4"/>
    <s v="Casual"/>
    <s v="M"/>
    <n v="17"/>
    <s v="Istanbul"/>
    <x v="9"/>
    <x v="2"/>
    <x v="25"/>
    <n v="399"/>
    <n v="40"/>
    <n v="21"/>
    <x v="33"/>
  </r>
  <r>
    <x v="5"/>
    <s v="Running"/>
    <s v="M"/>
    <n v="33"/>
    <s v="Istanbul"/>
    <x v="9"/>
    <x v="2"/>
    <x v="7"/>
    <n v="420"/>
    <n v="22"/>
    <n v="42"/>
    <x v="33"/>
  </r>
  <r>
    <x v="0"/>
    <s v="Running"/>
    <s v="F"/>
    <n v="28"/>
    <s v="Istanbul"/>
    <x v="10"/>
    <x v="2"/>
    <x v="2"/>
    <n v="396"/>
    <n v="25"/>
    <n v="33"/>
    <x v="34"/>
  </r>
  <r>
    <x v="0"/>
    <s v="Running"/>
    <s v="F"/>
    <n v="28"/>
    <s v="Antalya"/>
    <x v="10"/>
    <x v="2"/>
    <x v="15"/>
    <n v="297"/>
    <n v="20"/>
    <n v="33"/>
    <x v="34"/>
  </r>
  <r>
    <x v="1"/>
    <s v="Hiking"/>
    <s v="F"/>
    <n v="32"/>
    <s v="Istanbul"/>
    <x v="10"/>
    <x v="2"/>
    <x v="15"/>
    <n v="342"/>
    <n v="20"/>
    <n v="38"/>
    <x v="34"/>
  </r>
  <r>
    <x v="2"/>
    <s v="Casual"/>
    <s v="F"/>
    <n v="18"/>
    <s v="Istanbul"/>
    <x v="10"/>
    <x v="2"/>
    <x v="11"/>
    <n v="336"/>
    <n v="35"/>
    <n v="21"/>
    <x v="34"/>
  </r>
  <r>
    <x v="2"/>
    <s v="Casual"/>
    <s v="F"/>
    <n v="18"/>
    <s v="Izmir"/>
    <x v="10"/>
    <x v="2"/>
    <x v="17"/>
    <n v="420"/>
    <n v="40"/>
    <n v="21"/>
    <x v="34"/>
  </r>
  <r>
    <x v="4"/>
    <s v="Casual"/>
    <s v="F"/>
    <n v="15"/>
    <s v="Istanbul"/>
    <x v="10"/>
    <x v="2"/>
    <x v="20"/>
    <n v="396"/>
    <n v="45"/>
    <n v="18"/>
    <x v="34"/>
  </r>
  <r>
    <x v="4"/>
    <s v="Casual"/>
    <s v="F"/>
    <n v="15"/>
    <s v="Antalya"/>
    <x v="10"/>
    <x v="2"/>
    <x v="4"/>
    <n v="324"/>
    <n v="35"/>
    <n v="18"/>
    <x v="34"/>
  </r>
  <r>
    <x v="0"/>
    <s v="Running"/>
    <s v="F"/>
    <n v="30"/>
    <s v="Istanbul"/>
    <x v="10"/>
    <x v="2"/>
    <x v="2"/>
    <n v="408"/>
    <n v="25"/>
    <n v="34"/>
    <x v="34"/>
  </r>
  <r>
    <x v="2"/>
    <s v="Casual"/>
    <s v="M"/>
    <n v="20"/>
    <s v="Istanbul"/>
    <x v="10"/>
    <x v="2"/>
    <x v="5"/>
    <n v="345"/>
    <n v="30"/>
    <n v="23"/>
    <x v="34"/>
  </r>
  <r>
    <x v="4"/>
    <s v="Casual"/>
    <s v="M"/>
    <n v="17"/>
    <s v="Istanbul"/>
    <x v="10"/>
    <x v="2"/>
    <x v="4"/>
    <n v="357"/>
    <n v="35"/>
    <n v="21"/>
    <x v="34"/>
  </r>
  <r>
    <x v="5"/>
    <s v="Running"/>
    <s v="M"/>
    <n v="33"/>
    <s v="Istanbul"/>
    <x v="10"/>
    <x v="2"/>
    <x v="1"/>
    <n v="378"/>
    <n v="20"/>
    <n v="42"/>
    <x v="34"/>
  </r>
  <r>
    <x v="0"/>
    <s v="Running"/>
    <s v="F"/>
    <n v="28"/>
    <s v="Istanbul"/>
    <x v="11"/>
    <x v="2"/>
    <x v="14"/>
    <n v="462"/>
    <n v="30"/>
    <n v="33"/>
    <x v="35"/>
  </r>
  <r>
    <x v="0"/>
    <s v="Running"/>
    <s v="F"/>
    <n v="28"/>
    <s v="Izmir"/>
    <x v="11"/>
    <x v="2"/>
    <x v="9"/>
    <n v="363"/>
    <n v="25"/>
    <n v="33"/>
    <x v="35"/>
  </r>
  <r>
    <x v="1"/>
    <s v="Hiking"/>
    <s v="F"/>
    <n v="32"/>
    <s v="Istanbul"/>
    <x v="11"/>
    <x v="2"/>
    <x v="2"/>
    <n v="418"/>
    <n v="25"/>
    <n v="38"/>
    <x v="35"/>
  </r>
  <r>
    <x v="2"/>
    <s v="Casual"/>
    <s v="F"/>
    <n v="18"/>
    <s v="Istanbul"/>
    <x v="11"/>
    <x v="2"/>
    <x v="25"/>
    <n v="378"/>
    <n v="35"/>
    <n v="21"/>
    <x v="35"/>
  </r>
  <r>
    <x v="3"/>
    <s v="Limited"/>
    <s v="F"/>
    <n v="45"/>
    <s v="Istanbul"/>
    <x v="11"/>
    <x v="2"/>
    <x v="8"/>
    <n v="324"/>
    <n v="15"/>
    <n v="54"/>
    <x v="35"/>
  </r>
  <r>
    <x v="4"/>
    <s v="Casual"/>
    <s v="F"/>
    <n v="15"/>
    <s v="Istanbul"/>
    <x v="11"/>
    <x v="2"/>
    <x v="27"/>
    <n v="432"/>
    <n v="50"/>
    <n v="18"/>
    <x v="35"/>
  </r>
  <r>
    <x v="4"/>
    <s v="Casual"/>
    <s v="F"/>
    <n v="15"/>
    <s v="Izmir"/>
    <x v="11"/>
    <x v="2"/>
    <x v="20"/>
    <n v="396"/>
    <n v="45"/>
    <n v="18"/>
    <x v="35"/>
  </r>
  <r>
    <x v="0"/>
    <s v="Running"/>
    <s v="F"/>
    <n v="30"/>
    <s v="Istanbul"/>
    <x v="11"/>
    <x v="2"/>
    <x v="5"/>
    <n v="510"/>
    <n v="30"/>
    <n v="34"/>
    <x v="35"/>
  </r>
  <r>
    <x v="1"/>
    <s v="Hiking"/>
    <s v="M"/>
    <n v="35"/>
    <s v="Istanbul"/>
    <x v="11"/>
    <x v="2"/>
    <x v="7"/>
    <n v="369"/>
    <n v="20"/>
    <n v="41"/>
    <x v="35"/>
  </r>
  <r>
    <x v="2"/>
    <s v="Casual"/>
    <s v="M"/>
    <n v="20"/>
    <s v="Istanbul"/>
    <x v="11"/>
    <x v="2"/>
    <x v="26"/>
    <n v="414"/>
    <n v="35"/>
    <n v="23"/>
    <x v="35"/>
  </r>
  <r>
    <x v="3"/>
    <s v="Limited"/>
    <s v="M"/>
    <n v="48"/>
    <s v="Istanbul"/>
    <x v="11"/>
    <x v="2"/>
    <x v="12"/>
    <n v="295"/>
    <n v="12"/>
    <n v="59"/>
    <x v="35"/>
  </r>
  <r>
    <x v="4"/>
    <s v="Casual"/>
    <s v="M"/>
    <n v="17"/>
    <s v="Istanbul"/>
    <x v="11"/>
    <x v="2"/>
    <x v="6"/>
    <n v="441"/>
    <n v="40"/>
    <n v="21"/>
    <x v="35"/>
  </r>
  <r>
    <x v="5"/>
    <s v="Running"/>
    <s v="M"/>
    <n v="33"/>
    <s v="Istanbul"/>
    <x v="11"/>
    <x v="2"/>
    <x v="2"/>
    <n v="504"/>
    <n v="25"/>
    <n v="42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04454-BFF0-5444-8D97-24385907D2A7}" name="Сводная таблица5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">
  <location ref="A3:B43" firstHeaderRow="1" firstDataRow="1" firstDataCol="1"/>
  <pivotFields count="15">
    <pivotField showAll="0">
      <items count="7">
        <item h="1" x="5"/>
        <item x="2"/>
        <item h="1" x="0"/>
        <item h="1" x="4"/>
        <item h="1"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x="1"/>
        <item x="2"/>
        <item x="3"/>
        <item sd="0" x="4"/>
        <item t="default"/>
      </items>
    </pivotField>
  </pivotFields>
  <rowFields count="2">
    <field x="14"/>
    <field x="12"/>
  </rowFields>
  <rowItems count="4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Сумма по полю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D7667-92B9-D144-B659-FB4B7D0F2235}" name="Сводная таблица6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43" firstHeaderRow="1" firstDataRow="1" firstDataCol="1"/>
  <pivotFields count="15">
    <pivotField showAll="0">
      <items count="7">
        <item h="1" x="5"/>
        <item x="2"/>
        <item h="1" x="0"/>
        <item h="1" x="4"/>
        <item h="1"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4"/>
    <field x="12"/>
  </rowFields>
  <rowItems count="4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Среднее по полю sales" fld="7" subtotal="average" baseField="0" baseItem="0" numFmtId="165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A0923-DAB9-754E-AAF1-EE9A9A7AB543}" name="Сводная таблица8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16" firstHeaderRow="1" firstDataRow="1" firstDataCol="1"/>
  <pivotFields count="15">
    <pivotField showAll="0">
      <items count="7">
        <item h="1" x="5"/>
        <item x="2"/>
        <item h="1" x="0"/>
        <item h="1" x="4"/>
        <item h="1"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Среднее по полю sales" fld="7" subtotal="average" baseField="0" baseItem="0" numFmtId="165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242AF-72A1-7E4A-86ED-81C294B4156F}" name="Сводная таблица10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showAll="0">
      <items count="7">
        <item h="1" x="5"/>
        <item x="2"/>
        <item h="1" x="0"/>
        <item h="1" x="4"/>
        <item h="1"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 defaultSubtotal="0"/>
    <pivotField showAll="0" defaultSubtotal="0"/>
    <pivotField axis="axisRow" showAll="0" defaultSubtotal="0">
      <items count="5">
        <item x="0"/>
        <item x="1"/>
        <item x="2"/>
        <item x="3"/>
        <item x="4"/>
      </items>
    </pivotField>
  </pivotFields>
  <rowFields count="1">
    <field x="1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Сумма по полю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71F6C-4838-2A4C-85D2-613C5CB55892}" name="Сводная таблица15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43" firstHeaderRow="1" firstDataRow="1" firstDataCol="1"/>
  <pivotFields count="15">
    <pivotField showAll="0">
      <items count="7">
        <item h="1" x="5"/>
        <item x="2"/>
        <item h="1" x="0"/>
        <item h="1" x="4"/>
        <item h="1"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14"/>
    <field x="12"/>
  </rowFields>
  <rowItems count="4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Сумма по полю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6EBB8-90BD-1B43-BF37-A35989246405}" name="Сводная таблица18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E17" firstHeaderRow="1" firstDataRow="2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showAll="0">
      <items count="31">
        <item x="10"/>
        <item x="3"/>
        <item x="16"/>
        <item x="12"/>
        <item x="8"/>
        <item x="0"/>
        <item x="1"/>
        <item x="15"/>
        <item x="7"/>
        <item x="9"/>
        <item x="2"/>
        <item x="13"/>
        <item x="14"/>
        <item x="5"/>
        <item x="11"/>
        <item x="19"/>
        <item x="4"/>
        <item x="25"/>
        <item x="6"/>
        <item x="26"/>
        <item x="20"/>
        <item x="17"/>
        <item x="27"/>
        <item x="18"/>
        <item x="21"/>
        <item x="22"/>
        <item x="24"/>
        <item x="28"/>
        <item x="23"/>
        <item x="29"/>
        <item t="default"/>
      </items>
    </pivotField>
    <pivotField showAll="0"/>
    <pivotField showAll="0"/>
    <pivotField showAll="0"/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Col"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4"/>
  </colFields>
  <colItems count="4">
    <i>
      <x v="1"/>
    </i>
    <i>
      <x v="2"/>
    </i>
    <i>
      <x v="3"/>
    </i>
    <i t="grand">
      <x/>
    </i>
  </colItems>
  <dataFields count="1">
    <dataField name="Количество по полю sale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A3803-D217-114D-B984-4B1FDC0CBFD1}" name="Сводная таблица13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V3:W16" firstHeaderRow="1" firstDataRow="1" firstDataCol="1"/>
  <pivotFields count="15">
    <pivotField showAll="0">
      <items count="7">
        <item h="1" x="5"/>
        <item x="2"/>
        <item h="1" x="0"/>
        <item h="1" x="4"/>
        <item h="1"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Среднее по полю sales" fld="7" subtotal="average" baseField="0" baseItem="0" numFmtId="165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8DCB55-D015-FD47-B0E2-257442E11876}" name="Сводная таблица1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S3:T7" firstHeaderRow="1" firstDataRow="1" firstDataCol="1"/>
  <pivotFields count="15">
    <pivotField showAll="0">
      <items count="7">
        <item h="1" x="5"/>
        <item x="2"/>
        <item h="1" x="0"/>
        <item h="1" x="4"/>
        <item h="1"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 defaultSubtotal="0"/>
    <pivotField showAll="0" defaultSubtotal="0"/>
    <pivotField axis="axisRow" showAll="0" defaultSubtotal="0">
      <items count="5">
        <item x="0"/>
        <item x="1"/>
        <item x="2"/>
        <item x="3"/>
        <item x="4"/>
      </items>
    </pivotField>
  </pivotFields>
  <rowFields count="1">
    <field x="1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Сумма по полю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66C0B-62E3-8F49-81F0-0706C20BA6C6}" name="Сводная таблица7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Q3:R7" firstHeaderRow="1" firstDataRow="1" firstDataCol="1"/>
  <pivotFields count="15">
    <pivotField showAll="0">
      <items count="7">
        <item h="1" x="5"/>
        <item x="2"/>
        <item h="1" x="0"/>
        <item h="1" x="4"/>
        <item h="1"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Row" showAll="0" defaultSubtotal="0">
      <items count="5">
        <item x="0"/>
        <item x="1"/>
        <item x="2"/>
        <item x="3"/>
        <item x="4"/>
      </items>
    </pivotField>
  </pivotFields>
  <rowFields count="1">
    <field x="1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Среднее по полю sales" fld="7" subtotal="average" baseField="0" baseItem="0" numFmtId="165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4482B-0721-2F44-92A8-B0B444D44A74}" name="Сводная таблица14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5">
  <location ref="A3:E17" firstHeaderRow="1" firstDataRow="2" firstDataCol="1"/>
  <pivotFields count="15">
    <pivotField showAll="0">
      <items count="7">
        <item h="1" x="5"/>
        <item x="2"/>
        <item h="1" x="0"/>
        <item h="1" x="4"/>
        <item h="1" x="1"/>
        <item h="1" x="3"/>
        <item t="default"/>
      </items>
    </pivotField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Среднее по полю sales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064B1C-20E3-6848-A242-B0DC634AA74E}" name="Сводная таблица16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O1:P5" firstHeaderRow="1" firstDataRow="1" firstDataCol="1"/>
  <pivotFields count="15">
    <pivotField showAll="0">
      <items count="7">
        <item h="1" x="5"/>
        <item x="2"/>
        <item h="1" x="0"/>
        <item h="1" x="4"/>
        <item h="1"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 defaultSubtotal="0"/>
    <pivotField showAll="0" defaultSubtotal="0"/>
    <pivotField axis="axisRow" showAll="0" defaultSubtotal="0">
      <items count="5">
        <item x="0"/>
        <item x="1"/>
        <item x="2"/>
        <item x="3"/>
        <item x="4"/>
      </items>
    </pivotField>
  </pivotFields>
  <rowFields count="1">
    <field x="1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Сумма по полю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615C5FA-D2C0-F447-8B03-3042DAEDEED2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Shoe_model" tableColumnId="1"/>
      <queryTableField id="2" name="Shoe _Type" tableColumnId="2"/>
      <queryTableField id="3" name="Gender" tableColumnId="3"/>
      <queryTableField id="4" name="Cost" tableColumnId="4"/>
      <queryTableField id="5" name="Column2" tableColumnId="5"/>
      <queryTableField id="6" name="month" tableColumnId="6"/>
      <queryTableField id="7" name="year" tableColumnId="7"/>
      <queryTableField id="8" name="sales" tableColumnId="8"/>
      <queryTableField id="9" name="revenue" tableColumnId="9"/>
      <queryTableField id="10" name="stock" tableColumnId="10"/>
      <queryTableField id="11" name="price" tableColumnId="11"/>
      <queryTableField id="12" dataBound="0" tableColumnId="1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hoe_model" xr10:uid="{6DE42A06-1433-1445-9684-BC9CE7A17F62}" sourceName="Shoe_model">
  <pivotTables>
    <pivotTable tabId="7" name="Сводная таблица5"/>
    <pivotTable tabId="8" name="Сводная таблица6"/>
    <pivotTable tabId="4" name="Сводная таблица7"/>
    <pivotTable tabId="9" name="Сводная таблица8"/>
    <pivotTable tabId="10" name="Сводная таблица10"/>
    <pivotTable tabId="4" name="Сводная таблица11"/>
    <pivotTable tabId="4" name="Сводная таблица13"/>
    <pivotTable tabId="11" name="Сводная таблица14"/>
    <pivotTable tabId="12" name="Сводная таблица15"/>
    <pivotTable tabId="13" name="Сводная таблица16"/>
  </pivotTables>
  <data>
    <tabular pivotCacheId="1000124449">
      <items count="6">
        <i x="5"/>
        <i x="2" s="1"/>
        <i x="0"/>
        <i x="4"/>
        <i x="1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hoe_model" xr10:uid="{FA1B4921-12DD-8640-B801-8FBA77BDE15F}" cache="Срез_Shoe_model" caption="Shoe_model" rowHeight="230716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E9E943-898F-D747-AF9A-097E3AE75B9C}" name="sales__2" displayName="sales__2" ref="A1:L448" tableType="queryTable" totalsRowShown="0">
  <autoFilter ref="A1:L448" xr:uid="{34E9E943-898F-D747-AF9A-097E3AE75B9C}"/>
  <tableColumns count="12">
    <tableColumn id="1" xr3:uid="{DB96CE1F-BCEB-EF44-827B-19B9F9D47BDD}" uniqueName="1" name="Shoe_model" queryTableFieldId="1" dataDxfId="8"/>
    <tableColumn id="2" xr3:uid="{693B1419-F359-6A4D-8BAB-A4F7301AAFB2}" uniqueName="2" name="Shoe _Type" queryTableFieldId="2" dataDxfId="7"/>
    <tableColumn id="3" xr3:uid="{4BAE45C3-BB95-DD40-826C-533BE93AC92E}" uniqueName="3" name="Gender" queryTableFieldId="3" dataDxfId="6"/>
    <tableColumn id="4" xr3:uid="{96C1C0FD-FB40-4145-A33D-2B043B32EE7E}" uniqueName="4" name="Cost" queryTableFieldId="4"/>
    <tableColumn id="5" xr3:uid="{5B99B891-EB5E-6345-9BF0-9FBF19B03A56}" uniqueName="5" name="Column2" queryTableFieldId="5" dataDxfId="5"/>
    <tableColumn id="6" xr3:uid="{3E4D1E73-875C-C944-BA23-3394437F5AC2}" uniqueName="6" name="month" queryTableFieldId="6"/>
    <tableColumn id="7" xr3:uid="{BFE59597-1777-D74F-A853-EACE74F09700}" uniqueName="7" name="year" queryTableFieldId="7"/>
    <tableColumn id="8" xr3:uid="{DDC13465-5317-8A42-9A54-62D65B7A4DE3}" uniqueName="8" name="sales" queryTableFieldId="8"/>
    <tableColumn id="9" xr3:uid="{5E089530-ECAD-FF43-ADD0-13C73DBC635C}" uniqueName="9" name="revenue" queryTableFieldId="9"/>
    <tableColumn id="10" xr3:uid="{C25F5C40-591F-DB40-812B-0D3B0F328891}" uniqueName="10" name="stock" queryTableFieldId="10"/>
    <tableColumn id="11" xr3:uid="{9AC31C6C-58E5-1845-9B59-993D0D809DDB}" uniqueName="11" name="price" queryTableFieldId="11"/>
    <tableColumn id="12" xr3:uid="{5CD0CA74-F4E2-DF4F-AEB6-FD3D54FE7221}" uniqueName="12" name="Date" queryTableFieldId="12" dataDxfId="4">
      <calculatedColumnFormula>DATE(sales__2[[#This Row],[year]],sales__2[[#This Row],[month]],1)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470766-9BB6-4807-B9EB-86E2CF51B361}" name="Таблица1" displayName="Таблица1" ref="A1:E61" totalsRowShown="0">
  <autoFilter ref="A1:E61" xr:uid="{E1470766-9BB6-4807-B9EB-86E2CF51B361}"/>
  <tableColumns count="5">
    <tableColumn id="1" xr3:uid="{393606DE-9AE8-47D2-BAB7-0DBFEFF796B2}" name="Date" dataDxfId="3"/>
    <tableColumn id="2" xr3:uid="{2A757997-F2FE-4A94-A1B4-231153A6229A}" name="sales"/>
    <tableColumn id="3" xr3:uid="{03EA70BB-4CBB-406F-B5E9-4299A6195354}" name="Прогноз(sales)">
      <calculatedColumnFormula>_xlfn.FORECAST.ETS(A2,$B$2:$B$37,$A$2:$A$37,1,1)</calculatedColumnFormula>
    </tableColumn>
    <tableColumn id="4" xr3:uid="{B580A999-561D-4534-9577-AC64F69F5DBA}" name="Привязка низкой вероятности(sales)" dataDxfId="2">
      <calculatedColumnFormula>C2-_xlfn.FORECAST.ETS.CONFINT(A2,$B$2:$B$37,$A$2:$A$37,0.95,1,1)</calculatedColumnFormula>
    </tableColumn>
    <tableColumn id="5" xr3:uid="{5ADBBD24-F2A9-4062-8237-999CE263785F}" name="Привязка высокой вероятности(sales)" dataDxfId="1">
      <calculatedColumnFormula>C2+_xlfn.FORECAST.ETS.CONFINT(A2,$B$2:$B$37,$A$2:$A$37,0.95,1,1)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C2B169-BB09-4711-B51A-834C47610EB0}" name="Таблица2" displayName="Таблица2" ref="G1:H8" totalsRowShown="0">
  <autoFilter ref="G1:H8" xr:uid="{B6C2B169-BB09-4711-B51A-834C47610EB0}"/>
  <tableColumns count="2">
    <tableColumn id="1" xr3:uid="{1303FFFC-411A-4E96-B7F4-A49759738C74}" name="Статистика"/>
    <tableColumn id="2" xr3:uid="{423BF073-990A-4EB1-9341-D41A896C7A19}" name="Значение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microsoft.com/office/2007/relationships/slicer" Target="../slicers/slicer1.xml"/><Relationship Id="rId5" Type="http://schemas.openxmlformats.org/officeDocument/2006/relationships/table" Target="../tables/table1.xm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583C-A83C-BD4D-8B42-B1CB1B4F96EE}">
  <dimension ref="A3:B43"/>
  <sheetViews>
    <sheetView workbookViewId="0">
      <selection activeCell="B38" sqref="B38"/>
    </sheetView>
  </sheetViews>
  <sheetFormatPr baseColWidth="10" defaultColWidth="10.6640625" defaultRowHeight="15" x14ac:dyDescent="0.2"/>
  <cols>
    <col min="1" max="1" width="16.1640625" bestFit="1" customWidth="1"/>
    <col min="2" max="2" width="17.6640625" bestFit="1" customWidth="1"/>
    <col min="3" max="3" width="5.1640625" bestFit="1" customWidth="1"/>
    <col min="4" max="4" width="5" bestFit="1" customWidth="1"/>
    <col min="5" max="5" width="4.1640625" bestFit="1" customWidth="1"/>
    <col min="6" max="6" width="4.33203125" bestFit="1" customWidth="1"/>
    <col min="7" max="8" width="5.33203125" bestFit="1" customWidth="1"/>
    <col min="9" max="9" width="4.1640625" bestFit="1" customWidth="1"/>
    <col min="10" max="10" width="4.6640625" bestFit="1" customWidth="1"/>
    <col min="11" max="11" width="4.1640625" bestFit="1" customWidth="1"/>
    <col min="12" max="12" width="5" bestFit="1" customWidth="1"/>
    <col min="13" max="13" width="4.1640625" bestFit="1" customWidth="1"/>
    <col min="14" max="14" width="10.5" bestFit="1" customWidth="1"/>
  </cols>
  <sheetData>
    <row r="3" spans="1:2" x14ac:dyDescent="0.2">
      <c r="A3" s="2" t="s">
        <v>30</v>
      </c>
      <c r="B3" t="s">
        <v>47</v>
      </c>
    </row>
    <row r="4" spans="1:2" x14ac:dyDescent="0.2">
      <c r="A4" s="3" t="s">
        <v>32</v>
      </c>
      <c r="B4">
        <v>573</v>
      </c>
    </row>
    <row r="5" spans="1:2" x14ac:dyDescent="0.2">
      <c r="A5" s="4" t="s">
        <v>35</v>
      </c>
      <c r="B5">
        <v>38</v>
      </c>
    </row>
    <row r="6" spans="1:2" x14ac:dyDescent="0.2">
      <c r="A6" s="4" t="s">
        <v>36</v>
      </c>
      <c r="B6">
        <v>22</v>
      </c>
    </row>
    <row r="7" spans="1:2" x14ac:dyDescent="0.2">
      <c r="A7" s="4" t="s">
        <v>37</v>
      </c>
      <c r="B7">
        <v>48</v>
      </c>
    </row>
    <row r="8" spans="1:2" x14ac:dyDescent="0.2">
      <c r="A8" s="4" t="s">
        <v>38</v>
      </c>
      <c r="B8">
        <v>31</v>
      </c>
    </row>
    <row r="9" spans="1:2" x14ac:dyDescent="0.2">
      <c r="A9" s="4" t="s">
        <v>39</v>
      </c>
      <c r="B9">
        <v>47</v>
      </c>
    </row>
    <row r="10" spans="1:2" x14ac:dyDescent="0.2">
      <c r="A10" s="4" t="s">
        <v>40</v>
      </c>
      <c r="B10">
        <v>66</v>
      </c>
    </row>
    <row r="11" spans="1:2" x14ac:dyDescent="0.2">
      <c r="A11" s="4" t="s">
        <v>41</v>
      </c>
      <c r="B11">
        <v>73</v>
      </c>
    </row>
    <row r="12" spans="1:2" x14ac:dyDescent="0.2">
      <c r="A12" s="4" t="s">
        <v>42</v>
      </c>
      <c r="B12">
        <v>69</v>
      </c>
    </row>
    <row r="13" spans="1:2" x14ac:dyDescent="0.2">
      <c r="A13" s="4" t="s">
        <v>43</v>
      </c>
      <c r="B13">
        <v>60</v>
      </c>
    </row>
    <row r="14" spans="1:2" x14ac:dyDescent="0.2">
      <c r="A14" s="4" t="s">
        <v>44</v>
      </c>
      <c r="B14">
        <v>33</v>
      </c>
    </row>
    <row r="15" spans="1:2" x14ac:dyDescent="0.2">
      <c r="A15" s="4" t="s">
        <v>45</v>
      </c>
      <c r="B15">
        <v>50</v>
      </c>
    </row>
    <row r="16" spans="1:2" x14ac:dyDescent="0.2">
      <c r="A16" s="4" t="s">
        <v>46</v>
      </c>
      <c r="B16">
        <v>36</v>
      </c>
    </row>
    <row r="17" spans="1:2" x14ac:dyDescent="0.2">
      <c r="A17" s="3" t="s">
        <v>33</v>
      </c>
      <c r="B17">
        <v>608</v>
      </c>
    </row>
    <row r="18" spans="1:2" x14ac:dyDescent="0.2">
      <c r="A18" s="4" t="s">
        <v>35</v>
      </c>
      <c r="B18">
        <v>47</v>
      </c>
    </row>
    <row r="19" spans="1:2" x14ac:dyDescent="0.2">
      <c r="A19" s="4" t="s">
        <v>36</v>
      </c>
      <c r="B19">
        <v>21</v>
      </c>
    </row>
    <row r="20" spans="1:2" x14ac:dyDescent="0.2">
      <c r="A20" s="4" t="s">
        <v>37</v>
      </c>
      <c r="B20">
        <v>52</v>
      </c>
    </row>
    <row r="21" spans="1:2" x14ac:dyDescent="0.2">
      <c r="A21" s="4" t="s">
        <v>38</v>
      </c>
      <c r="B21">
        <v>34</v>
      </c>
    </row>
    <row r="22" spans="1:2" x14ac:dyDescent="0.2">
      <c r="A22" s="4" t="s">
        <v>39</v>
      </c>
      <c r="B22">
        <v>53</v>
      </c>
    </row>
    <row r="23" spans="1:2" x14ac:dyDescent="0.2">
      <c r="A23" s="4" t="s">
        <v>40</v>
      </c>
      <c r="B23">
        <v>66</v>
      </c>
    </row>
    <row r="24" spans="1:2" x14ac:dyDescent="0.2">
      <c r="A24" s="4" t="s">
        <v>41</v>
      </c>
      <c r="B24">
        <v>78</v>
      </c>
    </row>
    <row r="25" spans="1:2" x14ac:dyDescent="0.2">
      <c r="A25" s="4" t="s">
        <v>42</v>
      </c>
      <c r="B25">
        <v>72</v>
      </c>
    </row>
    <row r="26" spans="1:2" x14ac:dyDescent="0.2">
      <c r="A26" s="4" t="s">
        <v>43</v>
      </c>
      <c r="B26">
        <v>59</v>
      </c>
    </row>
    <row r="27" spans="1:2" x14ac:dyDescent="0.2">
      <c r="A27" s="4" t="s">
        <v>44</v>
      </c>
      <c r="B27">
        <v>34</v>
      </c>
    </row>
    <row r="28" spans="1:2" x14ac:dyDescent="0.2">
      <c r="A28" s="4" t="s">
        <v>45</v>
      </c>
      <c r="B28">
        <v>56</v>
      </c>
    </row>
    <row r="29" spans="1:2" x14ac:dyDescent="0.2">
      <c r="A29" s="4" t="s">
        <v>46</v>
      </c>
      <c r="B29">
        <v>36</v>
      </c>
    </row>
    <row r="30" spans="1:2" x14ac:dyDescent="0.2">
      <c r="A30" s="3" t="s">
        <v>34</v>
      </c>
      <c r="B30">
        <v>612</v>
      </c>
    </row>
    <row r="31" spans="1:2" x14ac:dyDescent="0.2">
      <c r="A31" s="4" t="s">
        <v>35</v>
      </c>
      <c r="B31">
        <v>49</v>
      </c>
    </row>
    <row r="32" spans="1:2" x14ac:dyDescent="0.2">
      <c r="A32" s="4" t="s">
        <v>36</v>
      </c>
      <c r="B32">
        <v>23</v>
      </c>
    </row>
    <row r="33" spans="1:2" x14ac:dyDescent="0.2">
      <c r="A33" s="4" t="s">
        <v>37</v>
      </c>
      <c r="B33">
        <v>53</v>
      </c>
    </row>
    <row r="34" spans="1:2" x14ac:dyDescent="0.2">
      <c r="A34" s="4" t="s">
        <v>38</v>
      </c>
      <c r="B34">
        <v>33</v>
      </c>
    </row>
    <row r="35" spans="1:2" x14ac:dyDescent="0.2">
      <c r="A35" s="4" t="s">
        <v>39</v>
      </c>
      <c r="B35">
        <v>50</v>
      </c>
    </row>
    <row r="36" spans="1:2" x14ac:dyDescent="0.2">
      <c r="A36" s="4" t="s">
        <v>40</v>
      </c>
      <c r="B36">
        <v>67</v>
      </c>
    </row>
    <row r="37" spans="1:2" x14ac:dyDescent="0.2">
      <c r="A37" s="4" t="s">
        <v>41</v>
      </c>
      <c r="B37">
        <v>76</v>
      </c>
    </row>
    <row r="38" spans="1:2" x14ac:dyDescent="0.2">
      <c r="A38" s="4" t="s">
        <v>42</v>
      </c>
      <c r="B38">
        <v>72</v>
      </c>
    </row>
    <row r="39" spans="1:2" x14ac:dyDescent="0.2">
      <c r="A39" s="4" t="s">
        <v>43</v>
      </c>
      <c r="B39">
        <v>59</v>
      </c>
    </row>
    <row r="40" spans="1:2" x14ac:dyDescent="0.2">
      <c r="A40" s="4" t="s">
        <v>44</v>
      </c>
      <c r="B40">
        <v>36</v>
      </c>
    </row>
    <row r="41" spans="1:2" x14ac:dyDescent="0.2">
      <c r="A41" s="4" t="s">
        <v>45</v>
      </c>
      <c r="B41">
        <v>54</v>
      </c>
    </row>
    <row r="42" spans="1:2" x14ac:dyDescent="0.2">
      <c r="A42" s="4" t="s">
        <v>46</v>
      </c>
      <c r="B42">
        <v>40</v>
      </c>
    </row>
    <row r="43" spans="1:2" x14ac:dyDescent="0.2">
      <c r="A43" s="3" t="s">
        <v>31</v>
      </c>
      <c r="B43">
        <v>1793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CFE2-4747-9844-BA4A-3537A8783D82}">
  <dimension ref="A3:B43"/>
  <sheetViews>
    <sheetView workbookViewId="0">
      <selection activeCell="A3" sqref="A3"/>
    </sheetView>
  </sheetViews>
  <sheetFormatPr baseColWidth="10" defaultColWidth="10.6640625" defaultRowHeight="15" x14ac:dyDescent="0.2"/>
  <cols>
    <col min="1" max="1" width="16.1640625" bestFit="1" customWidth="1"/>
    <col min="2" max="2" width="19.33203125" bestFit="1" customWidth="1"/>
    <col min="3" max="3" width="29.33203125" bestFit="1" customWidth="1"/>
    <col min="4" max="4" width="5" bestFit="1" customWidth="1"/>
    <col min="5" max="6" width="4.6640625" bestFit="1" customWidth="1"/>
    <col min="7" max="8" width="5.33203125" bestFit="1" customWidth="1"/>
    <col min="9" max="11" width="4.6640625" bestFit="1" customWidth="1"/>
    <col min="12" max="12" width="5" bestFit="1" customWidth="1"/>
    <col min="13" max="13" width="4.6640625" bestFit="1" customWidth="1"/>
    <col min="14" max="14" width="10.5" bestFit="1" customWidth="1"/>
    <col min="15" max="28" width="19.1640625" bestFit="1" customWidth="1"/>
    <col min="29" max="29" width="10.5" bestFit="1" customWidth="1"/>
  </cols>
  <sheetData>
    <row r="3" spans="1:2" x14ac:dyDescent="0.2">
      <c r="A3" s="2" t="s">
        <v>30</v>
      </c>
      <c r="B3" t="s">
        <v>49</v>
      </c>
    </row>
    <row r="4" spans="1:2" x14ac:dyDescent="0.2">
      <c r="A4" s="3" t="s">
        <v>32</v>
      </c>
      <c r="B4" s="6"/>
    </row>
    <row r="5" spans="1:2" x14ac:dyDescent="0.2">
      <c r="A5" s="4" t="s">
        <v>35</v>
      </c>
      <c r="B5" s="6">
        <v>12.666666666666666</v>
      </c>
    </row>
    <row r="6" spans="1:2" x14ac:dyDescent="0.2">
      <c r="A6" s="4" t="s">
        <v>36</v>
      </c>
      <c r="B6" s="6">
        <v>11</v>
      </c>
    </row>
    <row r="7" spans="1:2" x14ac:dyDescent="0.2">
      <c r="A7" s="4" t="s">
        <v>37</v>
      </c>
      <c r="B7" s="6">
        <v>16</v>
      </c>
    </row>
    <row r="8" spans="1:2" x14ac:dyDescent="0.2">
      <c r="A8" s="4" t="s">
        <v>38</v>
      </c>
      <c r="B8" s="6">
        <v>15.5</v>
      </c>
    </row>
    <row r="9" spans="1:2" x14ac:dyDescent="0.2">
      <c r="A9" s="4" t="s">
        <v>39</v>
      </c>
      <c r="B9" s="6">
        <v>15.666666666666666</v>
      </c>
    </row>
    <row r="10" spans="1:2" x14ac:dyDescent="0.2">
      <c r="A10" s="4" t="s">
        <v>40</v>
      </c>
      <c r="B10" s="6">
        <v>22</v>
      </c>
    </row>
    <row r="11" spans="1:2" x14ac:dyDescent="0.2">
      <c r="A11" s="4" t="s">
        <v>41</v>
      </c>
      <c r="B11" s="6">
        <v>24.333333333333332</v>
      </c>
    </row>
    <row r="12" spans="1:2" x14ac:dyDescent="0.2">
      <c r="A12" s="4" t="s">
        <v>42</v>
      </c>
      <c r="B12" s="6">
        <v>23</v>
      </c>
    </row>
    <row r="13" spans="1:2" x14ac:dyDescent="0.2">
      <c r="A13" s="4" t="s">
        <v>43</v>
      </c>
      <c r="B13" s="6">
        <v>20</v>
      </c>
    </row>
    <row r="14" spans="1:2" x14ac:dyDescent="0.2">
      <c r="A14" s="4" t="s">
        <v>44</v>
      </c>
      <c r="B14" s="6">
        <v>16.5</v>
      </c>
    </row>
    <row r="15" spans="1:2" x14ac:dyDescent="0.2">
      <c r="A15" s="4" t="s">
        <v>45</v>
      </c>
      <c r="B15" s="6">
        <v>16.666666666666668</v>
      </c>
    </row>
    <row r="16" spans="1:2" x14ac:dyDescent="0.2">
      <c r="A16" s="4" t="s">
        <v>46</v>
      </c>
      <c r="B16" s="6">
        <v>18</v>
      </c>
    </row>
    <row r="17" spans="1:2" x14ac:dyDescent="0.2">
      <c r="A17" s="3" t="s">
        <v>33</v>
      </c>
      <c r="B17" s="6"/>
    </row>
    <row r="18" spans="1:2" x14ac:dyDescent="0.2">
      <c r="A18" s="4" t="s">
        <v>35</v>
      </c>
      <c r="B18" s="6">
        <v>15.666666666666666</v>
      </c>
    </row>
    <row r="19" spans="1:2" x14ac:dyDescent="0.2">
      <c r="A19" s="4" t="s">
        <v>36</v>
      </c>
      <c r="B19" s="6">
        <v>10.5</v>
      </c>
    </row>
    <row r="20" spans="1:2" x14ac:dyDescent="0.2">
      <c r="A20" s="4" t="s">
        <v>37</v>
      </c>
      <c r="B20" s="6">
        <v>17.333333333333332</v>
      </c>
    </row>
    <row r="21" spans="1:2" x14ac:dyDescent="0.2">
      <c r="A21" s="4" t="s">
        <v>38</v>
      </c>
      <c r="B21" s="6">
        <v>17</v>
      </c>
    </row>
    <row r="22" spans="1:2" x14ac:dyDescent="0.2">
      <c r="A22" s="4" t="s">
        <v>39</v>
      </c>
      <c r="B22" s="6">
        <v>17.666666666666668</v>
      </c>
    </row>
    <row r="23" spans="1:2" x14ac:dyDescent="0.2">
      <c r="A23" s="4" t="s">
        <v>40</v>
      </c>
      <c r="B23" s="6">
        <v>22</v>
      </c>
    </row>
    <row r="24" spans="1:2" x14ac:dyDescent="0.2">
      <c r="A24" s="4" t="s">
        <v>41</v>
      </c>
      <c r="B24" s="6">
        <v>26</v>
      </c>
    </row>
    <row r="25" spans="1:2" x14ac:dyDescent="0.2">
      <c r="A25" s="4" t="s">
        <v>42</v>
      </c>
      <c r="B25" s="6">
        <v>24</v>
      </c>
    </row>
    <row r="26" spans="1:2" x14ac:dyDescent="0.2">
      <c r="A26" s="4" t="s">
        <v>43</v>
      </c>
      <c r="B26" s="6">
        <v>19.666666666666668</v>
      </c>
    </row>
    <row r="27" spans="1:2" x14ac:dyDescent="0.2">
      <c r="A27" s="4" t="s">
        <v>44</v>
      </c>
      <c r="B27" s="6">
        <v>17</v>
      </c>
    </row>
    <row r="28" spans="1:2" x14ac:dyDescent="0.2">
      <c r="A28" s="4" t="s">
        <v>45</v>
      </c>
      <c r="B28" s="6">
        <v>18.666666666666668</v>
      </c>
    </row>
    <row r="29" spans="1:2" x14ac:dyDescent="0.2">
      <c r="A29" s="4" t="s">
        <v>46</v>
      </c>
      <c r="B29" s="6">
        <v>18</v>
      </c>
    </row>
    <row r="30" spans="1:2" x14ac:dyDescent="0.2">
      <c r="A30" s="3" t="s">
        <v>34</v>
      </c>
      <c r="B30" s="6"/>
    </row>
    <row r="31" spans="1:2" x14ac:dyDescent="0.2">
      <c r="A31" s="4" t="s">
        <v>35</v>
      </c>
      <c r="B31" s="6">
        <v>16.333333333333332</v>
      </c>
    </row>
    <row r="32" spans="1:2" x14ac:dyDescent="0.2">
      <c r="A32" s="4" t="s">
        <v>36</v>
      </c>
      <c r="B32" s="6">
        <v>11.5</v>
      </c>
    </row>
    <row r="33" spans="1:2" x14ac:dyDescent="0.2">
      <c r="A33" s="4" t="s">
        <v>37</v>
      </c>
      <c r="B33" s="6">
        <v>17.666666666666668</v>
      </c>
    </row>
    <row r="34" spans="1:2" x14ac:dyDescent="0.2">
      <c r="A34" s="4" t="s">
        <v>38</v>
      </c>
      <c r="B34" s="6">
        <v>16.5</v>
      </c>
    </row>
    <row r="35" spans="1:2" x14ac:dyDescent="0.2">
      <c r="A35" s="4" t="s">
        <v>39</v>
      </c>
      <c r="B35" s="6">
        <v>16.666666666666668</v>
      </c>
    </row>
    <row r="36" spans="1:2" x14ac:dyDescent="0.2">
      <c r="A36" s="4" t="s">
        <v>40</v>
      </c>
      <c r="B36" s="6">
        <v>22.333333333333332</v>
      </c>
    </row>
    <row r="37" spans="1:2" x14ac:dyDescent="0.2">
      <c r="A37" s="4" t="s">
        <v>41</v>
      </c>
      <c r="B37" s="6">
        <v>25.333333333333332</v>
      </c>
    </row>
    <row r="38" spans="1:2" x14ac:dyDescent="0.2">
      <c r="A38" s="4" t="s">
        <v>42</v>
      </c>
      <c r="B38" s="6">
        <v>24</v>
      </c>
    </row>
    <row r="39" spans="1:2" x14ac:dyDescent="0.2">
      <c r="A39" s="4" t="s">
        <v>43</v>
      </c>
      <c r="B39" s="6">
        <v>19.666666666666668</v>
      </c>
    </row>
    <row r="40" spans="1:2" x14ac:dyDescent="0.2">
      <c r="A40" s="4" t="s">
        <v>44</v>
      </c>
      <c r="B40" s="6">
        <v>18</v>
      </c>
    </row>
    <row r="41" spans="1:2" x14ac:dyDescent="0.2">
      <c r="A41" s="4" t="s">
        <v>45</v>
      </c>
      <c r="B41" s="6">
        <v>18</v>
      </c>
    </row>
    <row r="42" spans="1:2" x14ac:dyDescent="0.2">
      <c r="A42" s="4" t="s">
        <v>46</v>
      </c>
      <c r="B42" s="6">
        <v>20</v>
      </c>
    </row>
    <row r="43" spans="1:2" x14ac:dyDescent="0.2">
      <c r="A43" s="3" t="s">
        <v>31</v>
      </c>
      <c r="B43" s="6">
        <v>18.677083333333332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CD1D1-11EA-8547-BB4B-7E1A4A6F0090}">
  <dimension ref="A3:B16"/>
  <sheetViews>
    <sheetView workbookViewId="0">
      <selection activeCell="A3" sqref="A3"/>
    </sheetView>
  </sheetViews>
  <sheetFormatPr baseColWidth="10" defaultColWidth="10.6640625" defaultRowHeight="15" x14ac:dyDescent="0.2"/>
  <cols>
    <col min="1" max="1" width="16.1640625" bestFit="1" customWidth="1"/>
    <col min="2" max="2" width="19.33203125" bestFit="1" customWidth="1"/>
  </cols>
  <sheetData>
    <row r="3" spans="1:2" x14ac:dyDescent="0.2">
      <c r="A3" s="2" t="s">
        <v>30</v>
      </c>
      <c r="B3" t="s">
        <v>49</v>
      </c>
    </row>
    <row r="4" spans="1:2" x14ac:dyDescent="0.2">
      <c r="A4" s="3" t="s">
        <v>35</v>
      </c>
      <c r="B4" s="6">
        <v>14.888888888888889</v>
      </c>
    </row>
    <row r="5" spans="1:2" x14ac:dyDescent="0.2">
      <c r="A5" s="3" t="s">
        <v>36</v>
      </c>
      <c r="B5" s="6">
        <v>11</v>
      </c>
    </row>
    <row r="6" spans="1:2" x14ac:dyDescent="0.2">
      <c r="A6" s="3" t="s">
        <v>37</v>
      </c>
      <c r="B6" s="6">
        <v>17</v>
      </c>
    </row>
    <row r="7" spans="1:2" x14ac:dyDescent="0.2">
      <c r="A7" s="3" t="s">
        <v>38</v>
      </c>
      <c r="B7" s="6">
        <v>16.333333333333332</v>
      </c>
    </row>
    <row r="8" spans="1:2" x14ac:dyDescent="0.2">
      <c r="A8" s="3" t="s">
        <v>39</v>
      </c>
      <c r="B8" s="6">
        <v>16.666666666666668</v>
      </c>
    </row>
    <row r="9" spans="1:2" x14ac:dyDescent="0.2">
      <c r="A9" s="3" t="s">
        <v>40</v>
      </c>
      <c r="B9" s="6">
        <v>22.111111111111111</v>
      </c>
    </row>
    <row r="10" spans="1:2" x14ac:dyDescent="0.2">
      <c r="A10" s="3" t="s">
        <v>41</v>
      </c>
      <c r="B10" s="6">
        <v>25.222222222222221</v>
      </c>
    </row>
    <row r="11" spans="1:2" x14ac:dyDescent="0.2">
      <c r="A11" s="3" t="s">
        <v>42</v>
      </c>
      <c r="B11" s="6">
        <v>23.666666666666668</v>
      </c>
    </row>
    <row r="12" spans="1:2" x14ac:dyDescent="0.2">
      <c r="A12" s="3" t="s">
        <v>43</v>
      </c>
      <c r="B12" s="6">
        <v>19.777777777777779</v>
      </c>
    </row>
    <row r="13" spans="1:2" x14ac:dyDescent="0.2">
      <c r="A13" s="3" t="s">
        <v>44</v>
      </c>
      <c r="B13" s="6">
        <v>17.166666666666668</v>
      </c>
    </row>
    <row r="14" spans="1:2" x14ac:dyDescent="0.2">
      <c r="A14" s="3" t="s">
        <v>45</v>
      </c>
      <c r="B14" s="6">
        <v>17.777777777777779</v>
      </c>
    </row>
    <row r="15" spans="1:2" x14ac:dyDescent="0.2">
      <c r="A15" s="3" t="s">
        <v>46</v>
      </c>
      <c r="B15" s="6">
        <v>18.666666666666668</v>
      </c>
    </row>
    <row r="16" spans="1:2" x14ac:dyDescent="0.2">
      <c r="A16" s="3" t="s">
        <v>31</v>
      </c>
      <c r="B16" s="6">
        <v>18.677083333333332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7E45-C774-C541-A914-5190AF7F62C5}">
  <dimension ref="A3:B7"/>
  <sheetViews>
    <sheetView workbookViewId="0">
      <selection activeCell="A3" sqref="A3"/>
    </sheetView>
  </sheetViews>
  <sheetFormatPr baseColWidth="10" defaultColWidth="10.6640625" defaultRowHeight="15" x14ac:dyDescent="0.2"/>
  <cols>
    <col min="1" max="1" width="16.1640625" bestFit="1" customWidth="1"/>
    <col min="2" max="2" width="17.6640625" bestFit="1" customWidth="1"/>
  </cols>
  <sheetData>
    <row r="3" spans="1:2" x14ac:dyDescent="0.2">
      <c r="A3" s="2" t="s">
        <v>30</v>
      </c>
      <c r="B3" t="s">
        <v>47</v>
      </c>
    </row>
    <row r="4" spans="1:2" x14ac:dyDescent="0.2">
      <c r="A4" s="3" t="s">
        <v>32</v>
      </c>
      <c r="B4">
        <v>573</v>
      </c>
    </row>
    <row r="5" spans="1:2" x14ac:dyDescent="0.2">
      <c r="A5" s="3" t="s">
        <v>33</v>
      </c>
      <c r="B5">
        <v>608</v>
      </c>
    </row>
    <row r="6" spans="1:2" x14ac:dyDescent="0.2">
      <c r="A6" s="3" t="s">
        <v>34</v>
      </c>
      <c r="B6">
        <v>612</v>
      </c>
    </row>
    <row r="7" spans="1:2" x14ac:dyDescent="0.2">
      <c r="A7" s="3" t="s">
        <v>31</v>
      </c>
      <c r="B7">
        <v>1793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4CFE-2849-ED4F-A11F-F37D342EC065}">
  <dimension ref="A3:I43"/>
  <sheetViews>
    <sheetView workbookViewId="0">
      <selection activeCell="A3" sqref="A3"/>
    </sheetView>
  </sheetViews>
  <sheetFormatPr baseColWidth="10" defaultColWidth="10.6640625" defaultRowHeight="15" x14ac:dyDescent="0.2"/>
  <cols>
    <col min="1" max="1" width="16.1640625" bestFit="1" customWidth="1"/>
    <col min="2" max="2" width="17.6640625" bestFit="1" customWidth="1"/>
    <col min="5" max="5" width="17.6640625" bestFit="1" customWidth="1"/>
    <col min="6" max="6" width="9.6640625" bestFit="1" customWidth="1"/>
    <col min="7" max="7" width="14" bestFit="1" customWidth="1"/>
    <col min="8" max="8" width="12.1640625" bestFit="1" customWidth="1"/>
    <col min="10" max="10" width="17" bestFit="1" customWidth="1"/>
  </cols>
  <sheetData>
    <row r="3" spans="1:9" x14ac:dyDescent="0.2">
      <c r="A3" s="2" t="s">
        <v>30</v>
      </c>
      <c r="B3" t="s">
        <v>47</v>
      </c>
    </row>
    <row r="4" spans="1:9" ht="16" x14ac:dyDescent="0.2">
      <c r="A4" s="3" t="s">
        <v>32</v>
      </c>
      <c r="D4" s="11"/>
      <c r="E4" s="11"/>
      <c r="F4" s="11"/>
      <c r="G4" s="11"/>
      <c r="H4" s="11"/>
      <c r="I4" s="11"/>
    </row>
    <row r="5" spans="1:9" x14ac:dyDescent="0.2">
      <c r="A5" s="4" t="s">
        <v>35</v>
      </c>
      <c r="B5">
        <v>38</v>
      </c>
    </row>
    <row r="6" spans="1:9" x14ac:dyDescent="0.2">
      <c r="A6" s="4" t="s">
        <v>36</v>
      </c>
      <c r="B6">
        <v>22</v>
      </c>
    </row>
    <row r="7" spans="1:9" x14ac:dyDescent="0.2">
      <c r="A7" s="4" t="s">
        <v>37</v>
      </c>
      <c r="B7">
        <v>48</v>
      </c>
    </row>
    <row r="8" spans="1:9" x14ac:dyDescent="0.2">
      <c r="A8" s="4" t="s">
        <v>38</v>
      </c>
      <c r="B8">
        <v>31</v>
      </c>
    </row>
    <row r="9" spans="1:9" x14ac:dyDescent="0.2">
      <c r="A9" s="4" t="s">
        <v>39</v>
      </c>
      <c r="B9">
        <v>47</v>
      </c>
    </row>
    <row r="10" spans="1:9" x14ac:dyDescent="0.2">
      <c r="A10" s="4" t="s">
        <v>40</v>
      </c>
      <c r="B10">
        <v>66</v>
      </c>
    </row>
    <row r="11" spans="1:9" x14ac:dyDescent="0.2">
      <c r="A11" s="4" t="s">
        <v>41</v>
      </c>
      <c r="B11">
        <v>73</v>
      </c>
    </row>
    <row r="12" spans="1:9" x14ac:dyDescent="0.2">
      <c r="A12" s="4" t="s">
        <v>42</v>
      </c>
      <c r="B12">
        <v>69</v>
      </c>
    </row>
    <row r="13" spans="1:9" x14ac:dyDescent="0.2">
      <c r="A13" s="4" t="s">
        <v>43</v>
      </c>
      <c r="B13">
        <v>60</v>
      </c>
    </row>
    <row r="14" spans="1:9" x14ac:dyDescent="0.2">
      <c r="A14" s="4" t="s">
        <v>44</v>
      </c>
      <c r="B14">
        <v>33</v>
      </c>
    </row>
    <row r="15" spans="1:9" x14ac:dyDescent="0.2">
      <c r="A15" s="4" t="s">
        <v>45</v>
      </c>
      <c r="B15">
        <v>50</v>
      </c>
    </row>
    <row r="16" spans="1:9" x14ac:dyDescent="0.2">
      <c r="A16" s="4" t="s">
        <v>46</v>
      </c>
      <c r="B16">
        <v>36</v>
      </c>
    </row>
    <row r="17" spans="1:2" x14ac:dyDescent="0.2">
      <c r="A17" s="3" t="s">
        <v>33</v>
      </c>
    </row>
    <row r="18" spans="1:2" x14ac:dyDescent="0.2">
      <c r="A18" s="4" t="s">
        <v>35</v>
      </c>
      <c r="B18">
        <v>47</v>
      </c>
    </row>
    <row r="19" spans="1:2" x14ac:dyDescent="0.2">
      <c r="A19" s="4" t="s">
        <v>36</v>
      </c>
      <c r="B19">
        <v>21</v>
      </c>
    </row>
    <row r="20" spans="1:2" x14ac:dyDescent="0.2">
      <c r="A20" s="4" t="s">
        <v>37</v>
      </c>
      <c r="B20">
        <v>52</v>
      </c>
    </row>
    <row r="21" spans="1:2" x14ac:dyDescent="0.2">
      <c r="A21" s="4" t="s">
        <v>38</v>
      </c>
      <c r="B21">
        <v>34</v>
      </c>
    </row>
    <row r="22" spans="1:2" x14ac:dyDescent="0.2">
      <c r="A22" s="4" t="s">
        <v>39</v>
      </c>
      <c r="B22">
        <v>53</v>
      </c>
    </row>
    <row r="23" spans="1:2" x14ac:dyDescent="0.2">
      <c r="A23" s="4" t="s">
        <v>40</v>
      </c>
      <c r="B23">
        <v>66</v>
      </c>
    </row>
    <row r="24" spans="1:2" x14ac:dyDescent="0.2">
      <c r="A24" s="4" t="s">
        <v>41</v>
      </c>
      <c r="B24">
        <v>78</v>
      </c>
    </row>
    <row r="25" spans="1:2" x14ac:dyDescent="0.2">
      <c r="A25" s="4" t="s">
        <v>42</v>
      </c>
      <c r="B25">
        <v>72</v>
      </c>
    </row>
    <row r="26" spans="1:2" x14ac:dyDescent="0.2">
      <c r="A26" s="4" t="s">
        <v>43</v>
      </c>
      <c r="B26">
        <v>59</v>
      </c>
    </row>
    <row r="27" spans="1:2" x14ac:dyDescent="0.2">
      <c r="A27" s="4" t="s">
        <v>44</v>
      </c>
      <c r="B27">
        <v>34</v>
      </c>
    </row>
    <row r="28" spans="1:2" x14ac:dyDescent="0.2">
      <c r="A28" s="4" t="s">
        <v>45</v>
      </c>
      <c r="B28">
        <v>56</v>
      </c>
    </row>
    <row r="29" spans="1:2" x14ac:dyDescent="0.2">
      <c r="A29" s="4" t="s">
        <v>46</v>
      </c>
      <c r="B29">
        <v>36</v>
      </c>
    </row>
    <row r="30" spans="1:2" x14ac:dyDescent="0.2">
      <c r="A30" s="3" t="s">
        <v>34</v>
      </c>
    </row>
    <row r="31" spans="1:2" x14ac:dyDescent="0.2">
      <c r="A31" s="4" t="s">
        <v>35</v>
      </c>
      <c r="B31">
        <v>49</v>
      </c>
    </row>
    <row r="32" spans="1:2" x14ac:dyDescent="0.2">
      <c r="A32" s="4" t="s">
        <v>36</v>
      </c>
      <c r="B32">
        <v>23</v>
      </c>
    </row>
    <row r="33" spans="1:2" x14ac:dyDescent="0.2">
      <c r="A33" s="4" t="s">
        <v>37</v>
      </c>
      <c r="B33">
        <v>53</v>
      </c>
    </row>
    <row r="34" spans="1:2" x14ac:dyDescent="0.2">
      <c r="A34" s="4" t="s">
        <v>38</v>
      </c>
      <c r="B34">
        <v>33</v>
      </c>
    </row>
    <row r="35" spans="1:2" x14ac:dyDescent="0.2">
      <c r="A35" s="4" t="s">
        <v>39</v>
      </c>
      <c r="B35">
        <v>50</v>
      </c>
    </row>
    <row r="36" spans="1:2" x14ac:dyDescent="0.2">
      <c r="A36" s="4" t="s">
        <v>40</v>
      </c>
      <c r="B36">
        <v>67</v>
      </c>
    </row>
    <row r="37" spans="1:2" x14ac:dyDescent="0.2">
      <c r="A37" s="4" t="s">
        <v>41</v>
      </c>
      <c r="B37">
        <v>76</v>
      </c>
    </row>
    <row r="38" spans="1:2" x14ac:dyDescent="0.2">
      <c r="A38" s="4" t="s">
        <v>42</v>
      </c>
      <c r="B38">
        <v>72</v>
      </c>
    </row>
    <row r="39" spans="1:2" x14ac:dyDescent="0.2">
      <c r="A39" s="4" t="s">
        <v>43</v>
      </c>
      <c r="B39">
        <v>59</v>
      </c>
    </row>
    <row r="40" spans="1:2" x14ac:dyDescent="0.2">
      <c r="A40" s="4" t="s">
        <v>44</v>
      </c>
      <c r="B40">
        <v>36</v>
      </c>
    </row>
    <row r="41" spans="1:2" x14ac:dyDescent="0.2">
      <c r="A41" s="4" t="s">
        <v>45</v>
      </c>
      <c r="B41">
        <v>54</v>
      </c>
    </row>
    <row r="42" spans="1:2" x14ac:dyDescent="0.2">
      <c r="A42" s="4" t="s">
        <v>46</v>
      </c>
      <c r="B42">
        <v>40</v>
      </c>
    </row>
    <row r="43" spans="1:2" x14ac:dyDescent="0.2">
      <c r="A43" s="3" t="s">
        <v>31</v>
      </c>
      <c r="B43">
        <v>1793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EE93-0451-F542-A623-EE30821B9775}">
  <dimension ref="A3:F17"/>
  <sheetViews>
    <sheetView workbookViewId="0">
      <selection activeCell="F5" sqref="F5:F16"/>
    </sheetView>
  </sheetViews>
  <sheetFormatPr baseColWidth="10" defaultColWidth="10.6640625" defaultRowHeight="15" x14ac:dyDescent="0.2"/>
  <cols>
    <col min="1" max="1" width="21.83203125" bestFit="1" customWidth="1"/>
    <col min="2" max="2" width="19.1640625" bestFit="1" customWidth="1"/>
    <col min="3" max="4" width="5.1640625" bestFit="1" customWidth="1"/>
    <col min="5" max="5" width="10.5" bestFit="1" customWidth="1"/>
  </cols>
  <sheetData>
    <row r="3" spans="1:6" x14ac:dyDescent="0.2">
      <c r="A3" s="2" t="s">
        <v>73</v>
      </c>
      <c r="B3" s="2" t="s">
        <v>48</v>
      </c>
    </row>
    <row r="4" spans="1:6" x14ac:dyDescent="0.2">
      <c r="A4" s="2" t="s">
        <v>30</v>
      </c>
      <c r="B4" t="s">
        <v>32</v>
      </c>
      <c r="C4" t="s">
        <v>33</v>
      </c>
      <c r="D4" t="s">
        <v>34</v>
      </c>
      <c r="E4" t="s">
        <v>31</v>
      </c>
    </row>
    <row r="5" spans="1:6" x14ac:dyDescent="0.2">
      <c r="A5" s="3" t="s">
        <v>35</v>
      </c>
      <c r="B5">
        <v>15</v>
      </c>
      <c r="C5">
        <v>18</v>
      </c>
      <c r="D5">
        <v>18</v>
      </c>
      <c r="E5">
        <v>51</v>
      </c>
      <c r="F5">
        <f>AVERAGE(B5:D5)</f>
        <v>17</v>
      </c>
    </row>
    <row r="6" spans="1:6" x14ac:dyDescent="0.2">
      <c r="A6" s="3" t="s">
        <v>36</v>
      </c>
      <c r="B6">
        <v>10</v>
      </c>
      <c r="C6">
        <v>10</v>
      </c>
      <c r="D6">
        <v>10</v>
      </c>
      <c r="E6">
        <v>30</v>
      </c>
      <c r="F6">
        <f t="shared" ref="F6:F16" si="0">AVERAGE(B6:D6)</f>
        <v>10</v>
      </c>
    </row>
    <row r="7" spans="1:6" x14ac:dyDescent="0.2">
      <c r="A7" s="3" t="s">
        <v>37</v>
      </c>
      <c r="B7">
        <v>11</v>
      </c>
      <c r="C7">
        <v>11</v>
      </c>
      <c r="D7">
        <v>11</v>
      </c>
      <c r="E7">
        <v>33</v>
      </c>
      <c r="F7">
        <f t="shared" si="0"/>
        <v>11</v>
      </c>
    </row>
    <row r="8" spans="1:6" x14ac:dyDescent="0.2">
      <c r="A8" s="3" t="s">
        <v>38</v>
      </c>
      <c r="B8">
        <v>13</v>
      </c>
      <c r="C8">
        <v>13</v>
      </c>
      <c r="D8">
        <v>13</v>
      </c>
      <c r="E8">
        <v>39</v>
      </c>
      <c r="F8">
        <f t="shared" si="0"/>
        <v>13</v>
      </c>
    </row>
    <row r="9" spans="1:6" x14ac:dyDescent="0.2">
      <c r="A9" s="3" t="s">
        <v>39</v>
      </c>
      <c r="B9">
        <v>11</v>
      </c>
      <c r="C9">
        <v>11</v>
      </c>
      <c r="D9">
        <v>11</v>
      </c>
      <c r="E9">
        <v>33</v>
      </c>
      <c r="F9">
        <f t="shared" si="0"/>
        <v>11</v>
      </c>
    </row>
    <row r="10" spans="1:6" x14ac:dyDescent="0.2">
      <c r="A10" s="3" t="s">
        <v>40</v>
      </c>
      <c r="B10">
        <v>13</v>
      </c>
      <c r="C10">
        <v>13</v>
      </c>
      <c r="D10">
        <v>13</v>
      </c>
      <c r="E10">
        <v>39</v>
      </c>
      <c r="F10">
        <f t="shared" si="0"/>
        <v>13</v>
      </c>
    </row>
    <row r="11" spans="1:6" x14ac:dyDescent="0.2">
      <c r="A11" s="3" t="s">
        <v>41</v>
      </c>
      <c r="B11">
        <v>13</v>
      </c>
      <c r="C11">
        <v>13</v>
      </c>
      <c r="D11">
        <v>13</v>
      </c>
      <c r="E11">
        <v>39</v>
      </c>
      <c r="F11">
        <f t="shared" si="0"/>
        <v>13</v>
      </c>
    </row>
    <row r="12" spans="1:6" x14ac:dyDescent="0.2">
      <c r="A12" s="3" t="s">
        <v>42</v>
      </c>
      <c r="B12">
        <v>12</v>
      </c>
      <c r="C12">
        <v>12</v>
      </c>
      <c r="D12">
        <v>12</v>
      </c>
      <c r="E12">
        <v>36</v>
      </c>
      <c r="F12">
        <f t="shared" si="0"/>
        <v>12</v>
      </c>
    </row>
    <row r="13" spans="1:6" x14ac:dyDescent="0.2">
      <c r="A13" s="3" t="s">
        <v>43</v>
      </c>
      <c r="B13">
        <v>12</v>
      </c>
      <c r="C13">
        <v>12</v>
      </c>
      <c r="D13">
        <v>12</v>
      </c>
      <c r="E13">
        <v>36</v>
      </c>
      <c r="F13">
        <f t="shared" si="0"/>
        <v>12</v>
      </c>
    </row>
    <row r="14" spans="1:6" x14ac:dyDescent="0.2">
      <c r="A14" s="3" t="s">
        <v>44</v>
      </c>
      <c r="B14">
        <v>13</v>
      </c>
      <c r="C14">
        <v>13</v>
      </c>
      <c r="D14">
        <v>13</v>
      </c>
      <c r="E14">
        <v>39</v>
      </c>
      <c r="F14">
        <f t="shared" si="0"/>
        <v>13</v>
      </c>
    </row>
    <row r="15" spans="1:6" x14ac:dyDescent="0.2">
      <c r="A15" s="3" t="s">
        <v>45</v>
      </c>
      <c r="B15">
        <v>11</v>
      </c>
      <c r="C15">
        <v>11</v>
      </c>
      <c r="D15">
        <v>11</v>
      </c>
      <c r="E15">
        <v>33</v>
      </c>
      <c r="F15">
        <f t="shared" si="0"/>
        <v>11</v>
      </c>
    </row>
    <row r="16" spans="1:6" x14ac:dyDescent="0.2">
      <c r="A16" s="3" t="s">
        <v>46</v>
      </c>
      <c r="B16">
        <v>13</v>
      </c>
      <c r="C16">
        <v>13</v>
      </c>
      <c r="D16">
        <v>13</v>
      </c>
      <c r="E16">
        <v>39</v>
      </c>
      <c r="F16">
        <f t="shared" si="0"/>
        <v>13</v>
      </c>
    </row>
    <row r="17" spans="1:5" x14ac:dyDescent="0.2">
      <c r="A17" s="3" t="s">
        <v>31</v>
      </c>
      <c r="B17">
        <v>147</v>
      </c>
      <c r="C17">
        <v>150</v>
      </c>
      <c r="D17">
        <v>150</v>
      </c>
      <c r="E17">
        <v>447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70C5C-F76E-164E-B2FB-C23DF519218F}">
  <dimension ref="A1:Z448"/>
  <sheetViews>
    <sheetView topLeftCell="J8" zoomScale="125" workbookViewId="0">
      <selection activeCell="R18" sqref="R18"/>
    </sheetView>
  </sheetViews>
  <sheetFormatPr baseColWidth="10" defaultColWidth="10.6640625" defaultRowHeight="15" x14ac:dyDescent="0.2"/>
  <cols>
    <col min="1" max="1" width="13.33203125" bestFit="1" customWidth="1"/>
    <col min="2" max="2" width="12.33203125" bestFit="1" customWidth="1"/>
    <col min="3" max="3" width="9.5" bestFit="1" customWidth="1"/>
    <col min="4" max="4" width="7.33203125" bestFit="1" customWidth="1"/>
    <col min="6" max="6" width="8.83203125" bestFit="1" customWidth="1"/>
    <col min="7" max="7" width="7" bestFit="1" customWidth="1"/>
    <col min="8" max="8" width="7.6640625" bestFit="1" customWidth="1"/>
    <col min="9" max="9" width="10.1640625" bestFit="1" customWidth="1"/>
    <col min="10" max="10" width="7.83203125" bestFit="1" customWidth="1"/>
    <col min="11" max="11" width="7.6640625" bestFit="1" customWidth="1"/>
    <col min="17" max="17" width="16.1640625" bestFit="1" customWidth="1"/>
    <col min="18" max="18" width="19.5" bestFit="1" customWidth="1"/>
    <col min="19" max="19" width="0.33203125" hidden="1" customWidth="1"/>
    <col min="20" max="20" width="17.83203125" bestFit="1" customWidth="1"/>
    <col min="21" max="21" width="17.6640625" bestFit="1" customWidth="1"/>
    <col min="22" max="22" width="16.1640625" bestFit="1" customWidth="1"/>
    <col min="23" max="23" width="19.5" bestFit="1" customWidth="1"/>
    <col min="24" max="24" width="11" customWidth="1"/>
    <col min="25" max="25" width="11.83203125" customWidth="1"/>
  </cols>
  <sheetData>
    <row r="1" spans="1:26" x14ac:dyDescent="0.2">
      <c r="A1" t="s">
        <v>6</v>
      </c>
      <c r="B1" t="s">
        <v>7</v>
      </c>
      <c r="C1" t="s">
        <v>8</v>
      </c>
      <c r="D1" t="s">
        <v>9</v>
      </c>
      <c r="E1" t="s">
        <v>22</v>
      </c>
      <c r="F1" t="s">
        <v>5</v>
      </c>
      <c r="G1" t="s">
        <v>4</v>
      </c>
      <c r="H1" t="s">
        <v>0</v>
      </c>
      <c r="I1" t="s">
        <v>1</v>
      </c>
      <c r="J1" t="s">
        <v>2</v>
      </c>
      <c r="K1" t="s">
        <v>3</v>
      </c>
      <c r="L1" t="s">
        <v>29</v>
      </c>
    </row>
    <row r="2" spans="1:26" x14ac:dyDescent="0.2">
      <c r="A2" t="s">
        <v>10</v>
      </c>
      <c r="B2" t="s">
        <v>11</v>
      </c>
      <c r="C2" t="s">
        <v>12</v>
      </c>
      <c r="D2">
        <v>28</v>
      </c>
      <c r="E2" t="s">
        <v>23</v>
      </c>
      <c r="F2">
        <v>1</v>
      </c>
      <c r="G2">
        <v>2022</v>
      </c>
      <c r="H2">
        <v>7</v>
      </c>
      <c r="I2">
        <v>310</v>
      </c>
      <c r="J2">
        <v>20</v>
      </c>
      <c r="K2">
        <v>31</v>
      </c>
      <c r="L2" s="1">
        <f>DATE(sales__2[[#This Row],[year]],sales__2[[#This Row],[month]],1)</f>
        <v>44562</v>
      </c>
    </row>
    <row r="3" spans="1:26" x14ac:dyDescent="0.2">
      <c r="A3" t="s">
        <v>13</v>
      </c>
      <c r="B3" t="s">
        <v>14</v>
      </c>
      <c r="C3" t="s">
        <v>12</v>
      </c>
      <c r="D3">
        <v>32</v>
      </c>
      <c r="E3" t="s">
        <v>23</v>
      </c>
      <c r="F3">
        <v>1</v>
      </c>
      <c r="G3">
        <v>2022</v>
      </c>
      <c r="H3">
        <v>8</v>
      </c>
      <c r="I3">
        <v>272</v>
      </c>
      <c r="J3">
        <v>18</v>
      </c>
      <c r="K3">
        <v>34</v>
      </c>
      <c r="L3" s="1">
        <f>DATE(sales__2[[#This Row],[year]],sales__2[[#This Row],[month]],1)</f>
        <v>44562</v>
      </c>
      <c r="Q3" s="2" t="s">
        <v>30</v>
      </c>
      <c r="R3" t="s">
        <v>49</v>
      </c>
      <c r="S3" s="2" t="s">
        <v>30</v>
      </c>
      <c r="T3" t="s">
        <v>47</v>
      </c>
      <c r="V3" s="2" t="s">
        <v>30</v>
      </c>
      <c r="W3" t="s">
        <v>49</v>
      </c>
      <c r="X3" s="9" t="s">
        <v>50</v>
      </c>
      <c r="Y3" s="8" t="s">
        <v>50</v>
      </c>
      <c r="Z3" t="s">
        <v>72</v>
      </c>
    </row>
    <row r="4" spans="1:26" x14ac:dyDescent="0.2">
      <c r="A4" t="s">
        <v>15</v>
      </c>
      <c r="B4" t="s">
        <v>16</v>
      </c>
      <c r="C4" t="s">
        <v>12</v>
      </c>
      <c r="D4">
        <v>18</v>
      </c>
      <c r="E4" t="s">
        <v>23</v>
      </c>
      <c r="F4">
        <v>1</v>
      </c>
      <c r="G4">
        <v>2022</v>
      </c>
      <c r="H4">
        <v>12</v>
      </c>
      <c r="I4">
        <v>247</v>
      </c>
      <c r="J4">
        <v>25</v>
      </c>
      <c r="K4">
        <v>19</v>
      </c>
      <c r="L4" s="1">
        <f>DATE(sales__2[[#This Row],[year]],sales__2[[#This Row],[month]],1)</f>
        <v>44562</v>
      </c>
      <c r="Q4" s="3" t="s">
        <v>32</v>
      </c>
      <c r="R4" s="6">
        <v>17.90625</v>
      </c>
      <c r="S4" s="3" t="s">
        <v>32</v>
      </c>
      <c r="T4">
        <v>573</v>
      </c>
      <c r="V4" s="3" t="s">
        <v>35</v>
      </c>
      <c r="W4" s="6">
        <v>14.888888888888889</v>
      </c>
      <c r="X4" s="5">
        <f>W4/R$7</f>
        <v>0.79717419594720218</v>
      </c>
      <c r="Y4" s="5">
        <f>'Сводная '!G5</f>
        <v>0.79717419594720207</v>
      </c>
      <c r="Z4" s="5">
        <f>X4-Y4</f>
        <v>0</v>
      </c>
    </row>
    <row r="5" spans="1:26" x14ac:dyDescent="0.2">
      <c r="A5" t="s">
        <v>17</v>
      </c>
      <c r="B5" t="s">
        <v>18</v>
      </c>
      <c r="C5" t="s">
        <v>12</v>
      </c>
      <c r="D5">
        <v>45</v>
      </c>
      <c r="E5" t="s">
        <v>23</v>
      </c>
      <c r="F5">
        <v>1</v>
      </c>
      <c r="G5">
        <v>2022</v>
      </c>
      <c r="H5">
        <v>3</v>
      </c>
      <c r="I5">
        <v>144</v>
      </c>
      <c r="J5">
        <v>8</v>
      </c>
      <c r="K5">
        <v>48</v>
      </c>
      <c r="L5" s="1">
        <f>DATE(sales__2[[#This Row],[year]],sales__2[[#This Row],[month]],1)</f>
        <v>44562</v>
      </c>
      <c r="Q5" s="3" t="s">
        <v>33</v>
      </c>
      <c r="R5" s="6">
        <v>19</v>
      </c>
      <c r="S5" s="3" t="s">
        <v>33</v>
      </c>
      <c r="T5">
        <v>608</v>
      </c>
      <c r="V5" s="3" t="s">
        <v>36</v>
      </c>
      <c r="W5" s="6">
        <v>11</v>
      </c>
      <c r="X5" s="5">
        <f t="shared" ref="X5:X15" si="0">W5/R$7</f>
        <v>0.58895705521472397</v>
      </c>
      <c r="Y5" s="5">
        <f>'Сводная '!G6</f>
        <v>0.58895705521472397</v>
      </c>
      <c r="Z5" s="5">
        <f t="shared" ref="Z5:Z15" si="1">X5-Y5</f>
        <v>0</v>
      </c>
    </row>
    <row r="6" spans="1:26" x14ac:dyDescent="0.2">
      <c r="A6" t="s">
        <v>19</v>
      </c>
      <c r="B6" t="s">
        <v>16</v>
      </c>
      <c r="C6" t="s">
        <v>12</v>
      </c>
      <c r="D6">
        <v>15</v>
      </c>
      <c r="E6" t="s">
        <v>23</v>
      </c>
      <c r="F6">
        <v>1</v>
      </c>
      <c r="G6">
        <v>2022</v>
      </c>
      <c r="H6">
        <v>18</v>
      </c>
      <c r="I6">
        <v>288</v>
      </c>
      <c r="J6">
        <v>35</v>
      </c>
      <c r="K6">
        <v>16</v>
      </c>
      <c r="L6" s="1">
        <f>DATE(sales__2[[#This Row],[year]],sales__2[[#This Row],[month]],1)</f>
        <v>44562</v>
      </c>
      <c r="Q6" s="3" t="s">
        <v>34</v>
      </c>
      <c r="R6" s="6">
        <v>19.125</v>
      </c>
      <c r="S6" s="3" t="s">
        <v>34</v>
      </c>
      <c r="T6">
        <v>612</v>
      </c>
      <c r="V6" s="3" t="s">
        <v>37</v>
      </c>
      <c r="W6" s="6">
        <v>17</v>
      </c>
      <c r="X6" s="5">
        <f t="shared" si="0"/>
        <v>0.91020635805911887</v>
      </c>
      <c r="Y6" s="5">
        <f>'Сводная '!G7</f>
        <v>0.91020635805911887</v>
      </c>
      <c r="Z6" s="5">
        <f t="shared" si="1"/>
        <v>0</v>
      </c>
    </row>
    <row r="7" spans="1:26" x14ac:dyDescent="0.2">
      <c r="A7" t="s">
        <v>10</v>
      </c>
      <c r="B7" t="s">
        <v>11</v>
      </c>
      <c r="C7" t="s">
        <v>12</v>
      </c>
      <c r="D7">
        <v>28</v>
      </c>
      <c r="E7" t="s">
        <v>24</v>
      </c>
      <c r="F7">
        <v>1</v>
      </c>
      <c r="G7">
        <v>2022</v>
      </c>
      <c r="H7">
        <v>7</v>
      </c>
      <c r="I7">
        <v>217</v>
      </c>
      <c r="J7">
        <v>15</v>
      </c>
      <c r="K7">
        <v>31</v>
      </c>
      <c r="L7" s="1">
        <f>DATE(sales__2[[#This Row],[year]],sales__2[[#This Row],[month]],1)</f>
        <v>44562</v>
      </c>
      <c r="Q7" s="3" t="s">
        <v>31</v>
      </c>
      <c r="R7" s="6">
        <v>18.677083333333332</v>
      </c>
      <c r="S7" s="3" t="s">
        <v>31</v>
      </c>
      <c r="T7">
        <v>1793</v>
      </c>
      <c r="V7" s="3" t="s">
        <v>38</v>
      </c>
      <c r="W7" s="6">
        <v>16.333333333333332</v>
      </c>
      <c r="X7" s="5">
        <f t="shared" si="0"/>
        <v>0.8745119910764082</v>
      </c>
      <c r="Y7" s="5">
        <f>'Сводная '!G8</f>
        <v>0.8745119910764082</v>
      </c>
      <c r="Z7" s="5">
        <f t="shared" si="1"/>
        <v>0</v>
      </c>
    </row>
    <row r="8" spans="1:26" x14ac:dyDescent="0.2">
      <c r="A8" t="s">
        <v>10</v>
      </c>
      <c r="B8" t="s">
        <v>11</v>
      </c>
      <c r="C8" t="s">
        <v>12</v>
      </c>
      <c r="D8">
        <v>28</v>
      </c>
      <c r="E8" t="s">
        <v>25</v>
      </c>
      <c r="F8">
        <v>1</v>
      </c>
      <c r="G8">
        <v>2022</v>
      </c>
      <c r="H8">
        <v>8</v>
      </c>
      <c r="I8">
        <v>248</v>
      </c>
      <c r="J8">
        <v>18</v>
      </c>
      <c r="K8">
        <v>31</v>
      </c>
      <c r="L8" s="1">
        <f>DATE(sales__2[[#This Row],[year]],sales__2[[#This Row],[month]],1)</f>
        <v>44562</v>
      </c>
      <c r="V8" s="3" t="s">
        <v>39</v>
      </c>
      <c r="W8" s="6">
        <v>16.666666666666668</v>
      </c>
      <c r="X8" s="5">
        <f t="shared" si="0"/>
        <v>0.89235917456776359</v>
      </c>
      <c r="Y8" s="5">
        <f>'Сводная '!G9</f>
        <v>0.89235917456776359</v>
      </c>
      <c r="Z8" s="5">
        <f t="shared" si="1"/>
        <v>0</v>
      </c>
    </row>
    <row r="9" spans="1:26" x14ac:dyDescent="0.2">
      <c r="A9" t="s">
        <v>15</v>
      </c>
      <c r="B9" t="s">
        <v>16</v>
      </c>
      <c r="C9" t="s">
        <v>12</v>
      </c>
      <c r="D9">
        <v>18</v>
      </c>
      <c r="E9" t="s">
        <v>25</v>
      </c>
      <c r="F9">
        <v>1</v>
      </c>
      <c r="G9">
        <v>2022</v>
      </c>
      <c r="H9">
        <v>15</v>
      </c>
      <c r="I9">
        <v>285</v>
      </c>
      <c r="J9">
        <v>30</v>
      </c>
      <c r="K9">
        <v>19</v>
      </c>
      <c r="L9" s="1">
        <f>DATE(sales__2[[#This Row],[year]],sales__2[[#This Row],[month]],1)</f>
        <v>44562</v>
      </c>
      <c r="V9" s="3" t="s">
        <v>40</v>
      </c>
      <c r="W9" s="6">
        <v>22.111111111111111</v>
      </c>
      <c r="X9" s="5">
        <f t="shared" si="0"/>
        <v>1.1838631715932331</v>
      </c>
      <c r="Y9" s="5">
        <f>'Сводная '!G10</f>
        <v>1.1838631715932331</v>
      </c>
      <c r="Z9" s="5">
        <f t="shared" si="1"/>
        <v>0</v>
      </c>
    </row>
    <row r="10" spans="1:26" x14ac:dyDescent="0.2">
      <c r="A10" t="s">
        <v>19</v>
      </c>
      <c r="B10" t="s">
        <v>16</v>
      </c>
      <c r="C10" t="s">
        <v>12</v>
      </c>
      <c r="D10">
        <v>15</v>
      </c>
      <c r="E10" t="s">
        <v>25</v>
      </c>
      <c r="F10">
        <v>1</v>
      </c>
      <c r="G10">
        <v>2022</v>
      </c>
      <c r="H10">
        <v>20</v>
      </c>
      <c r="I10">
        <v>320</v>
      </c>
      <c r="J10">
        <v>40</v>
      </c>
      <c r="K10">
        <v>16</v>
      </c>
      <c r="L10" s="1">
        <f>DATE(sales__2[[#This Row],[year]],sales__2[[#This Row],[month]],1)</f>
        <v>44562</v>
      </c>
      <c r="V10" s="3" t="s">
        <v>41</v>
      </c>
      <c r="W10" s="6">
        <v>25.222222222222221</v>
      </c>
      <c r="X10" s="5">
        <f t="shared" si="0"/>
        <v>1.3504368841792156</v>
      </c>
      <c r="Y10" s="5">
        <f>'Сводная '!G11</f>
        <v>1.3504368841792154</v>
      </c>
      <c r="Z10" s="5">
        <f t="shared" si="1"/>
        <v>0</v>
      </c>
    </row>
    <row r="11" spans="1:26" x14ac:dyDescent="0.2">
      <c r="A11" t="s">
        <v>10</v>
      </c>
      <c r="B11" t="s">
        <v>11</v>
      </c>
      <c r="C11" t="s">
        <v>12</v>
      </c>
      <c r="D11">
        <v>30</v>
      </c>
      <c r="E11" t="s">
        <v>23</v>
      </c>
      <c r="F11">
        <v>1</v>
      </c>
      <c r="G11">
        <v>2022</v>
      </c>
      <c r="H11">
        <v>10</v>
      </c>
      <c r="I11">
        <v>320</v>
      </c>
      <c r="J11">
        <v>22</v>
      </c>
      <c r="K11">
        <v>32</v>
      </c>
      <c r="L11" s="1">
        <f>DATE(sales__2[[#This Row],[year]],sales__2[[#This Row],[month]],1)</f>
        <v>44562</v>
      </c>
      <c r="V11" s="3" t="s">
        <v>42</v>
      </c>
      <c r="W11" s="6">
        <v>23.666666666666668</v>
      </c>
      <c r="X11" s="5">
        <f t="shared" si="0"/>
        <v>1.2671500278862244</v>
      </c>
      <c r="Y11" s="5">
        <f>'Сводная '!G12</f>
        <v>1.2671500278862244</v>
      </c>
      <c r="Z11" s="5">
        <f t="shared" si="1"/>
        <v>0</v>
      </c>
    </row>
    <row r="12" spans="1:26" x14ac:dyDescent="0.2">
      <c r="A12" t="s">
        <v>13</v>
      </c>
      <c r="B12" t="s">
        <v>14</v>
      </c>
      <c r="C12" t="s">
        <v>20</v>
      </c>
      <c r="D12">
        <v>35</v>
      </c>
      <c r="E12" t="s">
        <v>23</v>
      </c>
      <c r="F12">
        <v>1</v>
      </c>
      <c r="G12">
        <v>2022</v>
      </c>
      <c r="H12">
        <v>6</v>
      </c>
      <c r="I12">
        <v>222</v>
      </c>
      <c r="J12">
        <v>15</v>
      </c>
      <c r="K12">
        <v>37</v>
      </c>
      <c r="L12" s="1">
        <f>DATE(sales__2[[#This Row],[year]],sales__2[[#This Row],[month]],1)</f>
        <v>44562</v>
      </c>
      <c r="V12" s="3" t="s">
        <v>43</v>
      </c>
      <c r="W12" s="6">
        <v>19.777777777777779</v>
      </c>
      <c r="X12" s="5">
        <f t="shared" si="0"/>
        <v>1.0589328871537462</v>
      </c>
      <c r="Y12" s="5">
        <f>'Сводная '!G13</f>
        <v>1.0589328871537464</v>
      </c>
      <c r="Z12" s="5">
        <f t="shared" si="1"/>
        <v>0</v>
      </c>
    </row>
    <row r="13" spans="1:26" x14ac:dyDescent="0.2">
      <c r="A13" t="s">
        <v>15</v>
      </c>
      <c r="B13" t="s">
        <v>16</v>
      </c>
      <c r="C13" t="s">
        <v>20</v>
      </c>
      <c r="D13">
        <v>20</v>
      </c>
      <c r="E13" t="s">
        <v>23</v>
      </c>
      <c r="F13">
        <v>1</v>
      </c>
      <c r="G13">
        <v>2022</v>
      </c>
      <c r="H13">
        <v>11</v>
      </c>
      <c r="I13">
        <v>252</v>
      </c>
      <c r="J13">
        <v>25</v>
      </c>
      <c r="K13">
        <v>21</v>
      </c>
      <c r="L13" s="1">
        <f>DATE(sales__2[[#This Row],[year]],sales__2[[#This Row],[month]],1)</f>
        <v>44562</v>
      </c>
      <c r="V13" s="3" t="s">
        <v>44</v>
      </c>
      <c r="W13" s="6">
        <v>17.166666666666668</v>
      </c>
      <c r="X13" s="5">
        <f t="shared" si="0"/>
        <v>0.91912994980479656</v>
      </c>
      <c r="Y13" s="5">
        <f>'Сводная '!G14</f>
        <v>0.91912994980479656</v>
      </c>
      <c r="Z13" s="5">
        <f t="shared" si="1"/>
        <v>0</v>
      </c>
    </row>
    <row r="14" spans="1:26" x14ac:dyDescent="0.2">
      <c r="A14" t="s">
        <v>17</v>
      </c>
      <c r="B14" t="s">
        <v>18</v>
      </c>
      <c r="C14" t="s">
        <v>20</v>
      </c>
      <c r="D14">
        <v>48</v>
      </c>
      <c r="E14" t="s">
        <v>23</v>
      </c>
      <c r="F14">
        <v>1</v>
      </c>
      <c r="G14">
        <v>2022</v>
      </c>
      <c r="H14">
        <v>2</v>
      </c>
      <c r="I14">
        <v>104</v>
      </c>
      <c r="J14">
        <v>6</v>
      </c>
      <c r="K14">
        <v>52</v>
      </c>
      <c r="L14" s="1">
        <f>DATE(sales__2[[#This Row],[year]],sales__2[[#This Row],[month]],1)</f>
        <v>44562</v>
      </c>
      <c r="V14" s="3" t="s">
        <v>45</v>
      </c>
      <c r="W14" s="6">
        <v>17.777777777777779</v>
      </c>
      <c r="X14" s="5">
        <f t="shared" si="0"/>
        <v>0.95184978620561456</v>
      </c>
      <c r="Y14" s="5">
        <f>'Сводная '!G15</f>
        <v>0.95184978620561456</v>
      </c>
      <c r="Z14" s="5">
        <f t="shared" si="1"/>
        <v>0</v>
      </c>
    </row>
    <row r="15" spans="1:26" x14ac:dyDescent="0.2">
      <c r="A15" t="s">
        <v>19</v>
      </c>
      <c r="B15" t="s">
        <v>16</v>
      </c>
      <c r="C15" t="s">
        <v>20</v>
      </c>
      <c r="D15">
        <v>17</v>
      </c>
      <c r="E15" t="s">
        <v>23</v>
      </c>
      <c r="F15">
        <v>1</v>
      </c>
      <c r="G15">
        <v>2022</v>
      </c>
      <c r="H15">
        <v>15</v>
      </c>
      <c r="I15">
        <v>270</v>
      </c>
      <c r="J15">
        <v>30</v>
      </c>
      <c r="K15">
        <v>18</v>
      </c>
      <c r="L15" s="1">
        <f>DATE(sales__2[[#This Row],[year]],sales__2[[#This Row],[month]],1)</f>
        <v>44562</v>
      </c>
      <c r="V15" s="3" t="s">
        <v>46</v>
      </c>
      <c r="W15" s="6">
        <v>18.666666666666668</v>
      </c>
      <c r="X15" s="5">
        <f t="shared" si="0"/>
        <v>0.99944227551589526</v>
      </c>
      <c r="Y15" s="5">
        <f>'Сводная '!G16</f>
        <v>0.99944227551589526</v>
      </c>
      <c r="Z15" s="5">
        <f t="shared" si="1"/>
        <v>0</v>
      </c>
    </row>
    <row r="16" spans="1:26" x14ac:dyDescent="0.2">
      <c r="A16" t="s">
        <v>21</v>
      </c>
      <c r="B16" t="s">
        <v>11</v>
      </c>
      <c r="C16" t="s">
        <v>20</v>
      </c>
      <c r="D16">
        <v>33</v>
      </c>
      <c r="E16" t="s">
        <v>23</v>
      </c>
      <c r="F16">
        <v>1</v>
      </c>
      <c r="G16">
        <v>2022</v>
      </c>
      <c r="H16">
        <v>7</v>
      </c>
      <c r="I16">
        <v>252</v>
      </c>
      <c r="J16">
        <v>16</v>
      </c>
      <c r="K16">
        <v>36</v>
      </c>
      <c r="L16" s="1">
        <f>DATE(sales__2[[#This Row],[year]],sales__2[[#This Row],[month]],1)</f>
        <v>44562</v>
      </c>
      <c r="V16" s="3" t="s">
        <v>31</v>
      </c>
      <c r="W16" s="6">
        <v>18.677083333333332</v>
      </c>
      <c r="X16" s="7">
        <f>SUM(X4:X15)</f>
        <v>11.79401375720394</v>
      </c>
      <c r="Y16" s="7">
        <f>'Сводная '!G17</f>
        <v>11.79401375720394</v>
      </c>
    </row>
    <row r="17" spans="1:12" x14ac:dyDescent="0.2">
      <c r="A17" t="s">
        <v>10</v>
      </c>
      <c r="B17" t="s">
        <v>11</v>
      </c>
      <c r="C17" t="s">
        <v>12</v>
      </c>
      <c r="D17">
        <v>28</v>
      </c>
      <c r="E17" t="s">
        <v>23</v>
      </c>
      <c r="F17">
        <v>2</v>
      </c>
      <c r="G17">
        <v>2022</v>
      </c>
      <c r="H17">
        <v>8</v>
      </c>
      <c r="I17">
        <v>248</v>
      </c>
      <c r="J17">
        <v>18</v>
      </c>
      <c r="K17">
        <v>31</v>
      </c>
      <c r="L17" s="1">
        <f>DATE(sales__2[[#This Row],[year]],sales__2[[#This Row],[month]],1)</f>
        <v>44593</v>
      </c>
    </row>
    <row r="18" spans="1:12" x14ac:dyDescent="0.2">
      <c r="A18" t="s">
        <v>10</v>
      </c>
      <c r="B18" t="s">
        <v>11</v>
      </c>
      <c r="C18" t="s">
        <v>12</v>
      </c>
      <c r="D18">
        <v>28</v>
      </c>
      <c r="E18" t="s">
        <v>25</v>
      </c>
      <c r="F18">
        <v>2</v>
      </c>
      <c r="G18">
        <v>2022</v>
      </c>
      <c r="H18">
        <v>7</v>
      </c>
      <c r="I18">
        <v>217</v>
      </c>
      <c r="J18">
        <v>15</v>
      </c>
      <c r="K18">
        <v>31</v>
      </c>
      <c r="L18" s="1">
        <f>DATE(sales__2[[#This Row],[year]],sales__2[[#This Row],[month]],1)</f>
        <v>44593</v>
      </c>
    </row>
    <row r="19" spans="1:12" x14ac:dyDescent="0.2">
      <c r="A19" t="s">
        <v>13</v>
      </c>
      <c r="B19" t="s">
        <v>14</v>
      </c>
      <c r="C19" t="s">
        <v>12</v>
      </c>
      <c r="D19">
        <v>32</v>
      </c>
      <c r="E19" t="s">
        <v>23</v>
      </c>
      <c r="F19">
        <v>2</v>
      </c>
      <c r="G19">
        <v>2022</v>
      </c>
      <c r="H19">
        <v>6</v>
      </c>
      <c r="I19">
        <v>204</v>
      </c>
      <c r="J19">
        <v>15</v>
      </c>
      <c r="K19">
        <v>34</v>
      </c>
      <c r="L19" s="1">
        <f>DATE(sales__2[[#This Row],[year]],sales__2[[#This Row],[month]],1)</f>
        <v>44593</v>
      </c>
    </row>
    <row r="20" spans="1:12" x14ac:dyDescent="0.2">
      <c r="A20" t="s">
        <v>15</v>
      </c>
      <c r="B20" t="s">
        <v>16</v>
      </c>
      <c r="C20" t="s">
        <v>12</v>
      </c>
      <c r="D20">
        <v>18</v>
      </c>
      <c r="E20" t="s">
        <v>23</v>
      </c>
      <c r="F20">
        <v>2</v>
      </c>
      <c r="G20">
        <v>2022</v>
      </c>
      <c r="H20">
        <v>12</v>
      </c>
      <c r="I20">
        <v>209</v>
      </c>
      <c r="J20">
        <v>22</v>
      </c>
      <c r="K20">
        <v>19</v>
      </c>
      <c r="L20" s="1">
        <f>DATE(sales__2[[#This Row],[year]],sales__2[[#This Row],[month]],1)</f>
        <v>44593</v>
      </c>
    </row>
    <row r="21" spans="1:12" x14ac:dyDescent="0.2">
      <c r="A21" t="s">
        <v>19</v>
      </c>
      <c r="B21" t="s">
        <v>16</v>
      </c>
      <c r="C21" t="s">
        <v>12</v>
      </c>
      <c r="D21">
        <v>15</v>
      </c>
      <c r="E21" t="s">
        <v>23</v>
      </c>
      <c r="F21">
        <v>2</v>
      </c>
      <c r="G21">
        <v>2022</v>
      </c>
      <c r="H21">
        <v>16</v>
      </c>
      <c r="I21">
        <v>256</v>
      </c>
      <c r="J21">
        <v>30</v>
      </c>
      <c r="K21">
        <v>16</v>
      </c>
      <c r="L21" s="1">
        <f>DATE(sales__2[[#This Row],[year]],sales__2[[#This Row],[month]],1)</f>
        <v>44593</v>
      </c>
    </row>
    <row r="22" spans="1:12" x14ac:dyDescent="0.2">
      <c r="A22" t="s">
        <v>10</v>
      </c>
      <c r="B22" t="s">
        <v>11</v>
      </c>
      <c r="C22" t="s">
        <v>12</v>
      </c>
      <c r="D22">
        <v>30</v>
      </c>
      <c r="E22" t="s">
        <v>23</v>
      </c>
      <c r="F22">
        <v>2</v>
      </c>
      <c r="G22">
        <v>2022</v>
      </c>
      <c r="H22">
        <v>8</v>
      </c>
      <c r="I22">
        <v>256</v>
      </c>
      <c r="J22">
        <v>18</v>
      </c>
      <c r="K22">
        <v>32</v>
      </c>
      <c r="L22" s="1">
        <f>DATE(sales__2[[#This Row],[year]],sales__2[[#This Row],[month]],1)</f>
        <v>44593</v>
      </c>
    </row>
    <row r="23" spans="1:12" x14ac:dyDescent="0.2">
      <c r="A23" t="s">
        <v>13</v>
      </c>
      <c r="B23" t="s">
        <v>14</v>
      </c>
      <c r="C23" t="s">
        <v>20</v>
      </c>
      <c r="D23">
        <v>35</v>
      </c>
      <c r="E23" t="s">
        <v>23</v>
      </c>
      <c r="F23">
        <v>2</v>
      </c>
      <c r="G23">
        <v>2022</v>
      </c>
      <c r="H23">
        <v>5</v>
      </c>
      <c r="I23">
        <v>185</v>
      </c>
      <c r="J23">
        <v>12</v>
      </c>
      <c r="K23">
        <v>37</v>
      </c>
      <c r="L23" s="1">
        <f>DATE(sales__2[[#This Row],[year]],sales__2[[#This Row],[month]],1)</f>
        <v>44593</v>
      </c>
    </row>
    <row r="24" spans="1:12" x14ac:dyDescent="0.2">
      <c r="A24" t="s">
        <v>15</v>
      </c>
      <c r="B24" t="s">
        <v>16</v>
      </c>
      <c r="C24" t="s">
        <v>20</v>
      </c>
      <c r="D24">
        <v>20</v>
      </c>
      <c r="E24" t="s">
        <v>23</v>
      </c>
      <c r="F24">
        <v>2</v>
      </c>
      <c r="G24">
        <v>2022</v>
      </c>
      <c r="H24">
        <v>10</v>
      </c>
      <c r="I24">
        <v>210</v>
      </c>
      <c r="J24">
        <v>20</v>
      </c>
      <c r="K24">
        <v>21</v>
      </c>
      <c r="L24" s="1">
        <f>DATE(sales__2[[#This Row],[year]],sales__2[[#This Row],[month]],1)</f>
        <v>44593</v>
      </c>
    </row>
    <row r="25" spans="1:12" x14ac:dyDescent="0.2">
      <c r="A25" t="s">
        <v>19</v>
      </c>
      <c r="B25" t="s">
        <v>16</v>
      </c>
      <c r="C25" t="s">
        <v>20</v>
      </c>
      <c r="D25">
        <v>17</v>
      </c>
      <c r="E25" t="s">
        <v>23</v>
      </c>
      <c r="F25">
        <v>2</v>
      </c>
      <c r="G25">
        <v>2022</v>
      </c>
      <c r="H25">
        <v>13</v>
      </c>
      <c r="I25">
        <v>234</v>
      </c>
      <c r="J25">
        <v>25</v>
      </c>
      <c r="K25">
        <v>18</v>
      </c>
      <c r="L25" s="1">
        <f>DATE(sales__2[[#This Row],[year]],sales__2[[#This Row],[month]],1)</f>
        <v>44593</v>
      </c>
    </row>
    <row r="26" spans="1:12" x14ac:dyDescent="0.2">
      <c r="A26" t="s">
        <v>21</v>
      </c>
      <c r="B26" t="s">
        <v>11</v>
      </c>
      <c r="C26" t="s">
        <v>20</v>
      </c>
      <c r="D26">
        <v>33</v>
      </c>
      <c r="E26" t="s">
        <v>23</v>
      </c>
      <c r="F26">
        <v>2</v>
      </c>
      <c r="G26">
        <v>2022</v>
      </c>
      <c r="H26">
        <v>6</v>
      </c>
      <c r="I26">
        <v>216</v>
      </c>
      <c r="J26">
        <v>15</v>
      </c>
      <c r="K26">
        <v>36</v>
      </c>
      <c r="L26" s="1">
        <f>DATE(sales__2[[#This Row],[year]],sales__2[[#This Row],[month]],1)</f>
        <v>44593</v>
      </c>
    </row>
    <row r="27" spans="1:12" x14ac:dyDescent="0.2">
      <c r="A27" t="s">
        <v>10</v>
      </c>
      <c r="B27" t="s">
        <v>11</v>
      </c>
      <c r="C27" t="s">
        <v>12</v>
      </c>
      <c r="D27">
        <v>28</v>
      </c>
      <c r="E27" t="s">
        <v>23</v>
      </c>
      <c r="F27">
        <v>3</v>
      </c>
      <c r="G27">
        <v>2022</v>
      </c>
      <c r="H27">
        <v>12</v>
      </c>
      <c r="I27">
        <v>372</v>
      </c>
      <c r="J27">
        <v>25</v>
      </c>
      <c r="K27">
        <v>31</v>
      </c>
      <c r="L27" s="1">
        <f>DATE(sales__2[[#This Row],[year]],sales__2[[#This Row],[month]],1)</f>
        <v>44621</v>
      </c>
    </row>
    <row r="28" spans="1:12" x14ac:dyDescent="0.2">
      <c r="A28" t="s">
        <v>10</v>
      </c>
      <c r="B28" t="s">
        <v>11</v>
      </c>
      <c r="C28" t="s">
        <v>12</v>
      </c>
      <c r="D28">
        <v>28</v>
      </c>
      <c r="E28" t="s">
        <v>27</v>
      </c>
      <c r="F28">
        <v>3</v>
      </c>
      <c r="G28">
        <v>2022</v>
      </c>
      <c r="H28">
        <v>8</v>
      </c>
      <c r="I28">
        <v>248</v>
      </c>
      <c r="J28">
        <v>18</v>
      </c>
      <c r="K28">
        <v>31</v>
      </c>
      <c r="L28" s="1">
        <f>DATE(sales__2[[#This Row],[year]],sales__2[[#This Row],[month]],1)</f>
        <v>44621</v>
      </c>
    </row>
    <row r="29" spans="1:12" x14ac:dyDescent="0.2">
      <c r="A29" t="s">
        <v>13</v>
      </c>
      <c r="B29" t="s">
        <v>14</v>
      </c>
      <c r="C29" t="s">
        <v>12</v>
      </c>
      <c r="D29">
        <v>32</v>
      </c>
      <c r="E29" t="s">
        <v>23</v>
      </c>
      <c r="F29">
        <v>3</v>
      </c>
      <c r="G29">
        <v>2022</v>
      </c>
      <c r="H29">
        <v>7</v>
      </c>
      <c r="I29">
        <v>238</v>
      </c>
      <c r="J29">
        <v>16</v>
      </c>
      <c r="K29">
        <v>34</v>
      </c>
      <c r="L29" s="1">
        <f>DATE(sales__2[[#This Row],[year]],sales__2[[#This Row],[month]],1)</f>
        <v>44621</v>
      </c>
    </row>
    <row r="30" spans="1:12" x14ac:dyDescent="0.2">
      <c r="A30" t="s">
        <v>15</v>
      </c>
      <c r="B30" t="s">
        <v>16</v>
      </c>
      <c r="C30" t="s">
        <v>12</v>
      </c>
      <c r="D30">
        <v>18</v>
      </c>
      <c r="E30" t="s">
        <v>23</v>
      </c>
      <c r="F30">
        <v>3</v>
      </c>
      <c r="G30">
        <v>2022</v>
      </c>
      <c r="H30">
        <v>15</v>
      </c>
      <c r="I30">
        <v>285</v>
      </c>
      <c r="J30">
        <v>30</v>
      </c>
      <c r="K30">
        <v>19</v>
      </c>
      <c r="L30" s="1">
        <f>DATE(sales__2[[#This Row],[year]],sales__2[[#This Row],[month]],1)</f>
        <v>44621</v>
      </c>
    </row>
    <row r="31" spans="1:12" x14ac:dyDescent="0.2">
      <c r="A31" t="s">
        <v>15</v>
      </c>
      <c r="B31" t="s">
        <v>16</v>
      </c>
      <c r="C31" t="s">
        <v>12</v>
      </c>
      <c r="D31">
        <v>18</v>
      </c>
      <c r="E31" t="s">
        <v>25</v>
      </c>
      <c r="F31">
        <v>3</v>
      </c>
      <c r="G31">
        <v>2022</v>
      </c>
      <c r="H31">
        <v>18</v>
      </c>
      <c r="I31">
        <v>342</v>
      </c>
      <c r="J31">
        <v>35</v>
      </c>
      <c r="K31">
        <v>19</v>
      </c>
      <c r="L31" s="1">
        <f>DATE(sales__2[[#This Row],[year]],sales__2[[#This Row],[month]],1)</f>
        <v>44621</v>
      </c>
    </row>
    <row r="32" spans="1:12" x14ac:dyDescent="0.2">
      <c r="A32" t="s">
        <v>19</v>
      </c>
      <c r="B32" t="s">
        <v>16</v>
      </c>
      <c r="C32" t="s">
        <v>12</v>
      </c>
      <c r="D32">
        <v>15</v>
      </c>
      <c r="E32" t="s">
        <v>23</v>
      </c>
      <c r="F32">
        <v>3</v>
      </c>
      <c r="G32">
        <v>2022</v>
      </c>
      <c r="H32">
        <v>20</v>
      </c>
      <c r="I32">
        <v>320</v>
      </c>
      <c r="J32">
        <v>40</v>
      </c>
      <c r="K32">
        <v>16</v>
      </c>
      <c r="L32" s="1">
        <f>DATE(sales__2[[#This Row],[year]],sales__2[[#This Row],[month]],1)</f>
        <v>44621</v>
      </c>
    </row>
    <row r="33" spans="1:12" x14ac:dyDescent="0.2">
      <c r="A33" t="s">
        <v>19</v>
      </c>
      <c r="B33" t="s">
        <v>16</v>
      </c>
      <c r="C33" t="s">
        <v>12</v>
      </c>
      <c r="D33">
        <v>15</v>
      </c>
      <c r="E33" t="s">
        <v>27</v>
      </c>
      <c r="F33">
        <v>3</v>
      </c>
      <c r="G33">
        <v>2022</v>
      </c>
      <c r="H33">
        <v>16</v>
      </c>
      <c r="I33">
        <v>256</v>
      </c>
      <c r="J33">
        <v>30</v>
      </c>
      <c r="K33">
        <v>16</v>
      </c>
      <c r="L33" s="1">
        <f>DATE(sales__2[[#This Row],[year]],sales__2[[#This Row],[month]],1)</f>
        <v>44621</v>
      </c>
    </row>
    <row r="34" spans="1:12" x14ac:dyDescent="0.2">
      <c r="A34" t="s">
        <v>10</v>
      </c>
      <c r="B34" t="s">
        <v>11</v>
      </c>
      <c r="C34" t="s">
        <v>12</v>
      </c>
      <c r="D34">
        <v>30</v>
      </c>
      <c r="E34" t="s">
        <v>23</v>
      </c>
      <c r="F34">
        <v>3</v>
      </c>
      <c r="G34">
        <v>2022</v>
      </c>
      <c r="H34">
        <v>11</v>
      </c>
      <c r="I34">
        <v>352</v>
      </c>
      <c r="J34">
        <v>25</v>
      </c>
      <c r="K34">
        <v>32</v>
      </c>
      <c r="L34" s="1">
        <f>DATE(sales__2[[#This Row],[year]],sales__2[[#This Row],[month]],1)</f>
        <v>44621</v>
      </c>
    </row>
    <row r="35" spans="1:12" x14ac:dyDescent="0.2">
      <c r="A35" t="s">
        <v>15</v>
      </c>
      <c r="B35" t="s">
        <v>16</v>
      </c>
      <c r="C35" t="s">
        <v>20</v>
      </c>
      <c r="D35">
        <v>20</v>
      </c>
      <c r="E35" t="s">
        <v>23</v>
      </c>
      <c r="F35">
        <v>3</v>
      </c>
      <c r="G35">
        <v>2022</v>
      </c>
      <c r="H35">
        <v>15</v>
      </c>
      <c r="I35">
        <v>294</v>
      </c>
      <c r="J35">
        <v>30</v>
      </c>
      <c r="K35">
        <v>21</v>
      </c>
      <c r="L35" s="1">
        <f>DATE(sales__2[[#This Row],[year]],sales__2[[#This Row],[month]],1)</f>
        <v>44621</v>
      </c>
    </row>
    <row r="36" spans="1:12" x14ac:dyDescent="0.2">
      <c r="A36" t="s">
        <v>19</v>
      </c>
      <c r="B36" t="s">
        <v>16</v>
      </c>
      <c r="C36" t="s">
        <v>20</v>
      </c>
      <c r="D36">
        <v>17</v>
      </c>
      <c r="E36" t="s">
        <v>23</v>
      </c>
      <c r="F36">
        <v>3</v>
      </c>
      <c r="G36">
        <v>2022</v>
      </c>
      <c r="H36">
        <v>16</v>
      </c>
      <c r="I36">
        <v>288</v>
      </c>
      <c r="J36">
        <v>30</v>
      </c>
      <c r="K36">
        <v>18</v>
      </c>
      <c r="L36" s="1">
        <f>DATE(sales__2[[#This Row],[year]],sales__2[[#This Row],[month]],1)</f>
        <v>44621</v>
      </c>
    </row>
    <row r="37" spans="1:12" x14ac:dyDescent="0.2">
      <c r="A37" t="s">
        <v>21</v>
      </c>
      <c r="B37" t="s">
        <v>11</v>
      </c>
      <c r="C37" t="s">
        <v>20</v>
      </c>
      <c r="D37">
        <v>33</v>
      </c>
      <c r="E37" t="s">
        <v>23</v>
      </c>
      <c r="F37">
        <v>3</v>
      </c>
      <c r="G37">
        <v>2022</v>
      </c>
      <c r="H37">
        <v>8</v>
      </c>
      <c r="I37">
        <v>288</v>
      </c>
      <c r="J37">
        <v>18</v>
      </c>
      <c r="K37">
        <v>36</v>
      </c>
      <c r="L37" s="1">
        <f>DATE(sales__2[[#This Row],[year]],sales__2[[#This Row],[month]],1)</f>
        <v>44621</v>
      </c>
    </row>
    <row r="38" spans="1:12" x14ac:dyDescent="0.2">
      <c r="A38" t="s">
        <v>10</v>
      </c>
      <c r="B38" t="s">
        <v>11</v>
      </c>
      <c r="C38" t="s">
        <v>12</v>
      </c>
      <c r="D38">
        <v>28</v>
      </c>
      <c r="E38" t="s">
        <v>23</v>
      </c>
      <c r="F38">
        <v>4</v>
      </c>
      <c r="G38">
        <v>2022</v>
      </c>
      <c r="H38">
        <v>14</v>
      </c>
      <c r="I38">
        <v>434</v>
      </c>
      <c r="J38">
        <v>30</v>
      </c>
      <c r="K38">
        <v>31</v>
      </c>
      <c r="L38" s="1">
        <f>DATE(sales__2[[#This Row],[year]],sales__2[[#This Row],[month]],1)</f>
        <v>44652</v>
      </c>
    </row>
    <row r="39" spans="1:12" x14ac:dyDescent="0.2">
      <c r="A39" t="s">
        <v>10</v>
      </c>
      <c r="B39" t="s">
        <v>11</v>
      </c>
      <c r="C39" t="s">
        <v>12</v>
      </c>
      <c r="D39">
        <v>28</v>
      </c>
      <c r="E39" t="s">
        <v>25</v>
      </c>
      <c r="F39">
        <v>4</v>
      </c>
      <c r="G39">
        <v>2022</v>
      </c>
      <c r="H39">
        <v>10</v>
      </c>
      <c r="I39">
        <v>310</v>
      </c>
      <c r="J39">
        <v>20</v>
      </c>
      <c r="K39">
        <v>31</v>
      </c>
      <c r="L39" s="1">
        <f>DATE(sales__2[[#This Row],[year]],sales__2[[#This Row],[month]],1)</f>
        <v>44652</v>
      </c>
    </row>
    <row r="40" spans="1:12" x14ac:dyDescent="0.2">
      <c r="A40" t="s">
        <v>13</v>
      </c>
      <c r="B40" t="s">
        <v>14</v>
      </c>
      <c r="C40" t="s">
        <v>12</v>
      </c>
      <c r="D40">
        <v>32</v>
      </c>
      <c r="E40" t="s">
        <v>23</v>
      </c>
      <c r="F40">
        <v>4</v>
      </c>
      <c r="G40">
        <v>2022</v>
      </c>
      <c r="H40">
        <v>9</v>
      </c>
      <c r="I40">
        <v>306</v>
      </c>
      <c r="J40">
        <v>20</v>
      </c>
      <c r="K40">
        <v>34</v>
      </c>
      <c r="L40" s="1">
        <f>DATE(sales__2[[#This Row],[year]],sales__2[[#This Row],[month]],1)</f>
        <v>44652</v>
      </c>
    </row>
    <row r="41" spans="1:12" x14ac:dyDescent="0.2">
      <c r="A41" t="s">
        <v>15</v>
      </c>
      <c r="B41" t="s">
        <v>16</v>
      </c>
      <c r="C41" t="s">
        <v>12</v>
      </c>
      <c r="D41">
        <v>18</v>
      </c>
      <c r="E41" t="s">
        <v>23</v>
      </c>
      <c r="F41">
        <v>4</v>
      </c>
      <c r="G41">
        <v>2022</v>
      </c>
      <c r="H41">
        <v>16</v>
      </c>
      <c r="I41">
        <v>304</v>
      </c>
      <c r="J41">
        <v>35</v>
      </c>
      <c r="K41">
        <v>19</v>
      </c>
      <c r="L41" s="1">
        <f>DATE(sales__2[[#This Row],[year]],sales__2[[#This Row],[month]],1)</f>
        <v>44652</v>
      </c>
    </row>
    <row r="42" spans="1:12" x14ac:dyDescent="0.2">
      <c r="A42" t="s">
        <v>17</v>
      </c>
      <c r="B42" t="s">
        <v>18</v>
      </c>
      <c r="C42" t="s">
        <v>12</v>
      </c>
      <c r="D42">
        <v>45</v>
      </c>
      <c r="E42" t="s">
        <v>23</v>
      </c>
      <c r="F42">
        <v>4</v>
      </c>
      <c r="G42">
        <v>2022</v>
      </c>
      <c r="H42">
        <v>4</v>
      </c>
      <c r="I42">
        <v>192</v>
      </c>
      <c r="J42">
        <v>10</v>
      </c>
      <c r="K42">
        <v>48</v>
      </c>
      <c r="L42" s="1">
        <f>DATE(sales__2[[#This Row],[year]],sales__2[[#This Row],[month]],1)</f>
        <v>44652</v>
      </c>
    </row>
    <row r="43" spans="1:12" x14ac:dyDescent="0.2">
      <c r="A43" t="s">
        <v>19</v>
      </c>
      <c r="B43" t="s">
        <v>16</v>
      </c>
      <c r="C43" t="s">
        <v>12</v>
      </c>
      <c r="D43">
        <v>15</v>
      </c>
      <c r="E43" t="s">
        <v>23</v>
      </c>
      <c r="F43">
        <v>4</v>
      </c>
      <c r="G43">
        <v>2022</v>
      </c>
      <c r="H43">
        <v>23</v>
      </c>
      <c r="I43">
        <v>368</v>
      </c>
      <c r="J43">
        <v>45</v>
      </c>
      <c r="K43">
        <v>16</v>
      </c>
      <c r="L43" s="1">
        <f>DATE(sales__2[[#This Row],[year]],sales__2[[#This Row],[month]],1)</f>
        <v>44652</v>
      </c>
    </row>
    <row r="44" spans="1:12" x14ac:dyDescent="0.2">
      <c r="A44" t="s">
        <v>19</v>
      </c>
      <c r="B44" t="s">
        <v>16</v>
      </c>
      <c r="C44" t="s">
        <v>12</v>
      </c>
      <c r="D44">
        <v>15</v>
      </c>
      <c r="E44" t="s">
        <v>25</v>
      </c>
      <c r="F44">
        <v>4</v>
      </c>
      <c r="G44">
        <v>2022</v>
      </c>
      <c r="H44">
        <v>20</v>
      </c>
      <c r="I44">
        <v>320</v>
      </c>
      <c r="J44">
        <v>40</v>
      </c>
      <c r="K44">
        <v>16</v>
      </c>
      <c r="L44" s="1">
        <f>DATE(sales__2[[#This Row],[year]],sales__2[[#This Row],[month]],1)</f>
        <v>44652</v>
      </c>
    </row>
    <row r="45" spans="1:12" x14ac:dyDescent="0.2">
      <c r="A45" t="s">
        <v>10</v>
      </c>
      <c r="B45" t="s">
        <v>11</v>
      </c>
      <c r="C45" t="s">
        <v>12</v>
      </c>
      <c r="D45">
        <v>30</v>
      </c>
      <c r="E45" t="s">
        <v>23</v>
      </c>
      <c r="F45">
        <v>4</v>
      </c>
      <c r="G45">
        <v>2022</v>
      </c>
      <c r="H45">
        <v>13</v>
      </c>
      <c r="I45">
        <v>416</v>
      </c>
      <c r="J45">
        <v>30</v>
      </c>
      <c r="K45">
        <v>32</v>
      </c>
      <c r="L45" s="1">
        <f>DATE(sales__2[[#This Row],[year]],sales__2[[#This Row],[month]],1)</f>
        <v>44652</v>
      </c>
    </row>
    <row r="46" spans="1:12" x14ac:dyDescent="0.2">
      <c r="A46" t="s">
        <v>13</v>
      </c>
      <c r="B46" t="s">
        <v>14</v>
      </c>
      <c r="C46" t="s">
        <v>20</v>
      </c>
      <c r="D46">
        <v>35</v>
      </c>
      <c r="E46" t="s">
        <v>23</v>
      </c>
      <c r="F46">
        <v>4</v>
      </c>
      <c r="G46">
        <v>2022</v>
      </c>
      <c r="H46">
        <v>7</v>
      </c>
      <c r="I46">
        <v>259</v>
      </c>
      <c r="J46">
        <v>18</v>
      </c>
      <c r="K46">
        <v>37</v>
      </c>
      <c r="L46" s="1">
        <f>DATE(sales__2[[#This Row],[year]],sales__2[[#This Row],[month]],1)</f>
        <v>44652</v>
      </c>
    </row>
    <row r="47" spans="1:12" x14ac:dyDescent="0.2">
      <c r="A47" t="s">
        <v>15</v>
      </c>
      <c r="B47" t="s">
        <v>16</v>
      </c>
      <c r="C47" t="s">
        <v>20</v>
      </c>
      <c r="D47">
        <v>20</v>
      </c>
      <c r="E47" t="s">
        <v>23</v>
      </c>
      <c r="F47">
        <v>4</v>
      </c>
      <c r="G47">
        <v>2022</v>
      </c>
      <c r="H47">
        <v>15</v>
      </c>
      <c r="I47">
        <v>315</v>
      </c>
      <c r="J47">
        <v>30</v>
      </c>
      <c r="K47">
        <v>21</v>
      </c>
      <c r="L47" s="1">
        <f>DATE(sales__2[[#This Row],[year]],sales__2[[#This Row],[month]],1)</f>
        <v>44652</v>
      </c>
    </row>
    <row r="48" spans="1:12" x14ac:dyDescent="0.2">
      <c r="A48" t="s">
        <v>17</v>
      </c>
      <c r="B48" t="s">
        <v>18</v>
      </c>
      <c r="C48" t="s">
        <v>20</v>
      </c>
      <c r="D48">
        <v>48</v>
      </c>
      <c r="E48" t="s">
        <v>23</v>
      </c>
      <c r="F48">
        <v>4</v>
      </c>
      <c r="G48">
        <v>2022</v>
      </c>
      <c r="H48">
        <v>3</v>
      </c>
      <c r="I48">
        <v>162</v>
      </c>
      <c r="J48">
        <v>8</v>
      </c>
      <c r="K48">
        <v>54</v>
      </c>
      <c r="L48" s="1">
        <f>DATE(sales__2[[#This Row],[year]],sales__2[[#This Row],[month]],1)</f>
        <v>44652</v>
      </c>
    </row>
    <row r="49" spans="1:12" x14ac:dyDescent="0.2">
      <c r="A49" t="s">
        <v>19</v>
      </c>
      <c r="B49" t="s">
        <v>16</v>
      </c>
      <c r="C49" t="s">
        <v>20</v>
      </c>
      <c r="D49">
        <v>17</v>
      </c>
      <c r="E49" t="s">
        <v>23</v>
      </c>
      <c r="F49">
        <v>4</v>
      </c>
      <c r="G49">
        <v>2022</v>
      </c>
      <c r="H49">
        <v>18</v>
      </c>
      <c r="I49">
        <v>324</v>
      </c>
      <c r="J49">
        <v>35</v>
      </c>
      <c r="K49">
        <v>18</v>
      </c>
      <c r="L49" s="1">
        <f>DATE(sales__2[[#This Row],[year]],sales__2[[#This Row],[month]],1)</f>
        <v>44652</v>
      </c>
    </row>
    <row r="50" spans="1:12" x14ac:dyDescent="0.2">
      <c r="A50" t="s">
        <v>21</v>
      </c>
      <c r="B50" t="s">
        <v>11</v>
      </c>
      <c r="C50" t="s">
        <v>20</v>
      </c>
      <c r="D50">
        <v>33</v>
      </c>
      <c r="E50" t="s">
        <v>23</v>
      </c>
      <c r="F50">
        <v>4</v>
      </c>
      <c r="G50">
        <v>2022</v>
      </c>
      <c r="H50">
        <v>9</v>
      </c>
      <c r="I50">
        <v>324</v>
      </c>
      <c r="J50">
        <v>20</v>
      </c>
      <c r="K50">
        <v>36</v>
      </c>
      <c r="L50" s="1">
        <f>DATE(sales__2[[#This Row],[year]],sales__2[[#This Row],[month]],1)</f>
        <v>44652</v>
      </c>
    </row>
    <row r="51" spans="1:12" x14ac:dyDescent="0.2">
      <c r="A51" t="s">
        <v>10</v>
      </c>
      <c r="B51" t="s">
        <v>11</v>
      </c>
      <c r="C51" t="s">
        <v>12</v>
      </c>
      <c r="D51">
        <v>28</v>
      </c>
      <c r="E51" t="s">
        <v>23</v>
      </c>
      <c r="F51">
        <v>5</v>
      </c>
      <c r="G51">
        <v>2022</v>
      </c>
      <c r="H51">
        <v>16</v>
      </c>
      <c r="I51">
        <v>496</v>
      </c>
      <c r="J51">
        <v>35</v>
      </c>
      <c r="K51">
        <v>31</v>
      </c>
      <c r="L51" s="1">
        <f>DATE(sales__2[[#This Row],[year]],sales__2[[#This Row],[month]],1)</f>
        <v>44682</v>
      </c>
    </row>
    <row r="52" spans="1:12" x14ac:dyDescent="0.2">
      <c r="A52" t="s">
        <v>10</v>
      </c>
      <c r="B52" t="s">
        <v>11</v>
      </c>
      <c r="C52" t="s">
        <v>12</v>
      </c>
      <c r="D52">
        <v>28</v>
      </c>
      <c r="E52" t="s">
        <v>27</v>
      </c>
      <c r="F52">
        <v>5</v>
      </c>
      <c r="G52">
        <v>2022</v>
      </c>
      <c r="H52">
        <v>12</v>
      </c>
      <c r="I52">
        <v>372</v>
      </c>
      <c r="J52">
        <v>25</v>
      </c>
      <c r="K52">
        <v>31</v>
      </c>
      <c r="L52" s="1">
        <f>DATE(sales__2[[#This Row],[year]],sales__2[[#This Row],[month]],1)</f>
        <v>44682</v>
      </c>
    </row>
    <row r="53" spans="1:12" x14ac:dyDescent="0.2">
      <c r="A53" t="s">
        <v>13</v>
      </c>
      <c r="B53" t="s">
        <v>14</v>
      </c>
      <c r="C53" t="s">
        <v>12</v>
      </c>
      <c r="D53">
        <v>32</v>
      </c>
      <c r="E53" t="s">
        <v>23</v>
      </c>
      <c r="F53">
        <v>5</v>
      </c>
      <c r="G53">
        <v>2022</v>
      </c>
      <c r="H53">
        <v>11</v>
      </c>
      <c r="I53">
        <v>374</v>
      </c>
      <c r="J53">
        <v>25</v>
      </c>
      <c r="K53">
        <v>34</v>
      </c>
      <c r="L53" s="1">
        <f>DATE(sales__2[[#This Row],[year]],sales__2[[#This Row],[month]],1)</f>
        <v>44682</v>
      </c>
    </row>
    <row r="54" spans="1:12" x14ac:dyDescent="0.2">
      <c r="A54" t="s">
        <v>15</v>
      </c>
      <c r="B54" t="s">
        <v>16</v>
      </c>
      <c r="C54" t="s">
        <v>12</v>
      </c>
      <c r="D54">
        <v>18</v>
      </c>
      <c r="E54" t="s">
        <v>23</v>
      </c>
      <c r="F54">
        <v>5</v>
      </c>
      <c r="G54">
        <v>2022</v>
      </c>
      <c r="H54">
        <v>18</v>
      </c>
      <c r="I54">
        <v>342</v>
      </c>
      <c r="J54">
        <v>35</v>
      </c>
      <c r="K54">
        <v>19</v>
      </c>
      <c r="L54" s="1">
        <f>DATE(sales__2[[#This Row],[year]],sales__2[[#This Row],[month]],1)</f>
        <v>44682</v>
      </c>
    </row>
    <row r="55" spans="1:12" x14ac:dyDescent="0.2">
      <c r="A55" t="s">
        <v>15</v>
      </c>
      <c r="B55" t="s">
        <v>16</v>
      </c>
      <c r="C55" t="s">
        <v>12</v>
      </c>
      <c r="D55">
        <v>18</v>
      </c>
      <c r="E55" t="s">
        <v>28</v>
      </c>
      <c r="F55">
        <v>5</v>
      </c>
      <c r="G55">
        <v>2022</v>
      </c>
      <c r="H55">
        <v>12</v>
      </c>
      <c r="I55">
        <v>228</v>
      </c>
      <c r="J55">
        <v>25</v>
      </c>
      <c r="K55">
        <v>19</v>
      </c>
      <c r="L55" s="1">
        <f>DATE(sales__2[[#This Row],[year]],sales__2[[#This Row],[month]],1)</f>
        <v>44682</v>
      </c>
    </row>
    <row r="56" spans="1:12" x14ac:dyDescent="0.2">
      <c r="A56" t="s">
        <v>19</v>
      </c>
      <c r="B56" t="s">
        <v>16</v>
      </c>
      <c r="C56" t="s">
        <v>12</v>
      </c>
      <c r="D56">
        <v>15</v>
      </c>
      <c r="E56" t="s">
        <v>23</v>
      </c>
      <c r="F56">
        <v>5</v>
      </c>
      <c r="G56">
        <v>2022</v>
      </c>
      <c r="H56">
        <v>25</v>
      </c>
      <c r="I56">
        <v>400</v>
      </c>
      <c r="J56">
        <v>50</v>
      </c>
      <c r="K56">
        <v>16</v>
      </c>
      <c r="L56" s="1">
        <f>DATE(sales__2[[#This Row],[year]],sales__2[[#This Row],[month]],1)</f>
        <v>44682</v>
      </c>
    </row>
    <row r="57" spans="1:12" x14ac:dyDescent="0.2">
      <c r="A57" t="s">
        <v>19</v>
      </c>
      <c r="B57" t="s">
        <v>16</v>
      </c>
      <c r="C57" t="s">
        <v>12</v>
      </c>
      <c r="D57">
        <v>15</v>
      </c>
      <c r="E57" t="s">
        <v>27</v>
      </c>
      <c r="F57">
        <v>5</v>
      </c>
      <c r="G57">
        <v>2022</v>
      </c>
      <c r="H57">
        <v>20</v>
      </c>
      <c r="I57">
        <v>320</v>
      </c>
      <c r="J57">
        <v>40</v>
      </c>
      <c r="K57">
        <v>16</v>
      </c>
      <c r="L57" s="1">
        <f>DATE(sales__2[[#This Row],[year]],sales__2[[#This Row],[month]],1)</f>
        <v>44682</v>
      </c>
    </row>
    <row r="58" spans="1:12" x14ac:dyDescent="0.2">
      <c r="A58" t="s">
        <v>10</v>
      </c>
      <c r="B58" t="s">
        <v>11</v>
      </c>
      <c r="C58" t="s">
        <v>12</v>
      </c>
      <c r="D58">
        <v>30</v>
      </c>
      <c r="E58" t="s">
        <v>23</v>
      </c>
      <c r="F58">
        <v>5</v>
      </c>
      <c r="G58">
        <v>2022</v>
      </c>
      <c r="H58">
        <v>15</v>
      </c>
      <c r="I58">
        <v>480</v>
      </c>
      <c r="J58">
        <v>30</v>
      </c>
      <c r="K58">
        <v>32</v>
      </c>
      <c r="L58" s="1">
        <f>DATE(sales__2[[#This Row],[year]],sales__2[[#This Row],[month]],1)</f>
        <v>44682</v>
      </c>
    </row>
    <row r="59" spans="1:12" x14ac:dyDescent="0.2">
      <c r="A59" t="s">
        <v>15</v>
      </c>
      <c r="B59" t="s">
        <v>16</v>
      </c>
      <c r="C59" t="s">
        <v>20</v>
      </c>
      <c r="D59">
        <v>20</v>
      </c>
      <c r="E59" t="s">
        <v>23</v>
      </c>
      <c r="F59">
        <v>5</v>
      </c>
      <c r="G59">
        <v>2022</v>
      </c>
      <c r="H59">
        <v>17</v>
      </c>
      <c r="I59">
        <v>357</v>
      </c>
      <c r="J59">
        <v>35</v>
      </c>
      <c r="K59">
        <v>21</v>
      </c>
      <c r="L59" s="1">
        <f>DATE(sales__2[[#This Row],[year]],sales__2[[#This Row],[month]],1)</f>
        <v>44682</v>
      </c>
    </row>
    <row r="60" spans="1:12" x14ac:dyDescent="0.2">
      <c r="A60" t="s">
        <v>19</v>
      </c>
      <c r="B60" t="s">
        <v>16</v>
      </c>
      <c r="C60" t="s">
        <v>20</v>
      </c>
      <c r="D60">
        <v>17</v>
      </c>
      <c r="E60" t="s">
        <v>23</v>
      </c>
      <c r="F60">
        <v>5</v>
      </c>
      <c r="G60">
        <v>2022</v>
      </c>
      <c r="H60">
        <v>20</v>
      </c>
      <c r="I60">
        <v>360</v>
      </c>
      <c r="J60">
        <v>40</v>
      </c>
      <c r="K60">
        <v>18</v>
      </c>
      <c r="L60" s="1">
        <f>DATE(sales__2[[#This Row],[year]],sales__2[[#This Row],[month]],1)</f>
        <v>44682</v>
      </c>
    </row>
    <row r="61" spans="1:12" x14ac:dyDescent="0.2">
      <c r="A61" t="s">
        <v>21</v>
      </c>
      <c r="B61" t="s">
        <v>11</v>
      </c>
      <c r="C61" t="s">
        <v>20</v>
      </c>
      <c r="D61">
        <v>33</v>
      </c>
      <c r="E61" t="s">
        <v>23</v>
      </c>
      <c r="F61">
        <v>5</v>
      </c>
      <c r="G61">
        <v>2022</v>
      </c>
      <c r="H61">
        <v>10</v>
      </c>
      <c r="I61">
        <v>360</v>
      </c>
      <c r="J61">
        <v>22</v>
      </c>
      <c r="K61">
        <v>36</v>
      </c>
      <c r="L61" s="1">
        <f>DATE(sales__2[[#This Row],[year]],sales__2[[#This Row],[month]],1)</f>
        <v>44682</v>
      </c>
    </row>
    <row r="62" spans="1:12" x14ac:dyDescent="0.2">
      <c r="A62" t="s">
        <v>10</v>
      </c>
      <c r="B62" t="s">
        <v>11</v>
      </c>
      <c r="C62" t="s">
        <v>12</v>
      </c>
      <c r="D62">
        <v>28</v>
      </c>
      <c r="E62" t="s">
        <v>23</v>
      </c>
      <c r="F62">
        <v>6</v>
      </c>
      <c r="G62">
        <v>2022</v>
      </c>
      <c r="H62">
        <v>18</v>
      </c>
      <c r="I62">
        <v>558</v>
      </c>
      <c r="J62">
        <v>40</v>
      </c>
      <c r="K62">
        <v>31</v>
      </c>
      <c r="L62" s="1">
        <f>DATE(sales__2[[#This Row],[year]],sales__2[[#This Row],[month]],1)</f>
        <v>44713</v>
      </c>
    </row>
    <row r="63" spans="1:12" x14ac:dyDescent="0.2">
      <c r="A63" t="s">
        <v>10</v>
      </c>
      <c r="B63" t="s">
        <v>11</v>
      </c>
      <c r="C63" t="s">
        <v>12</v>
      </c>
      <c r="D63">
        <v>28</v>
      </c>
      <c r="E63" t="s">
        <v>25</v>
      </c>
      <c r="F63">
        <v>6</v>
      </c>
      <c r="G63">
        <v>2022</v>
      </c>
      <c r="H63">
        <v>15</v>
      </c>
      <c r="I63">
        <v>465</v>
      </c>
      <c r="J63">
        <v>30</v>
      </c>
      <c r="K63">
        <v>31</v>
      </c>
      <c r="L63" s="1">
        <f>DATE(sales__2[[#This Row],[year]],sales__2[[#This Row],[month]],1)</f>
        <v>44713</v>
      </c>
    </row>
    <row r="64" spans="1:12" x14ac:dyDescent="0.2">
      <c r="A64" t="s">
        <v>13</v>
      </c>
      <c r="B64" t="s">
        <v>14</v>
      </c>
      <c r="C64" t="s">
        <v>12</v>
      </c>
      <c r="D64">
        <v>32</v>
      </c>
      <c r="E64" t="s">
        <v>23</v>
      </c>
      <c r="F64">
        <v>6</v>
      </c>
      <c r="G64">
        <v>2022</v>
      </c>
      <c r="H64">
        <v>12</v>
      </c>
      <c r="I64">
        <v>408</v>
      </c>
      <c r="J64">
        <v>25</v>
      </c>
      <c r="K64">
        <v>34</v>
      </c>
      <c r="L64" s="1">
        <f>DATE(sales__2[[#This Row],[year]],sales__2[[#This Row],[month]],1)</f>
        <v>44713</v>
      </c>
    </row>
    <row r="65" spans="1:12" x14ac:dyDescent="0.2">
      <c r="A65" t="s">
        <v>15</v>
      </c>
      <c r="B65" t="s">
        <v>16</v>
      </c>
      <c r="C65" t="s">
        <v>12</v>
      </c>
      <c r="D65">
        <v>18</v>
      </c>
      <c r="E65" t="s">
        <v>23</v>
      </c>
      <c r="F65">
        <v>6</v>
      </c>
      <c r="G65">
        <v>2022</v>
      </c>
      <c r="H65">
        <v>22</v>
      </c>
      <c r="I65">
        <v>418</v>
      </c>
      <c r="J65">
        <v>45</v>
      </c>
      <c r="K65">
        <v>19</v>
      </c>
      <c r="L65" s="1">
        <f>DATE(sales__2[[#This Row],[year]],sales__2[[#This Row],[month]],1)</f>
        <v>44713</v>
      </c>
    </row>
    <row r="66" spans="1:12" x14ac:dyDescent="0.2">
      <c r="A66" t="s">
        <v>15</v>
      </c>
      <c r="B66" t="s">
        <v>16</v>
      </c>
      <c r="C66" t="s">
        <v>12</v>
      </c>
      <c r="D66">
        <v>18</v>
      </c>
      <c r="E66" t="s">
        <v>25</v>
      </c>
      <c r="F66">
        <v>6</v>
      </c>
      <c r="G66">
        <v>2022</v>
      </c>
      <c r="H66">
        <v>26</v>
      </c>
      <c r="I66">
        <v>475</v>
      </c>
      <c r="J66">
        <v>50</v>
      </c>
      <c r="K66">
        <v>19</v>
      </c>
      <c r="L66" s="1">
        <f>DATE(sales__2[[#This Row],[year]],sales__2[[#This Row],[month]],1)</f>
        <v>44713</v>
      </c>
    </row>
    <row r="67" spans="1:12" x14ac:dyDescent="0.2">
      <c r="A67" t="s">
        <v>19</v>
      </c>
      <c r="B67" t="s">
        <v>16</v>
      </c>
      <c r="C67" t="s">
        <v>12</v>
      </c>
      <c r="D67">
        <v>15</v>
      </c>
      <c r="E67" t="s">
        <v>23</v>
      </c>
      <c r="F67">
        <v>6</v>
      </c>
      <c r="G67">
        <v>2022</v>
      </c>
      <c r="H67">
        <v>27</v>
      </c>
      <c r="I67">
        <v>448</v>
      </c>
      <c r="J67">
        <v>55</v>
      </c>
      <c r="K67">
        <v>16</v>
      </c>
      <c r="L67" s="1">
        <f>DATE(sales__2[[#This Row],[year]],sales__2[[#This Row],[month]],1)</f>
        <v>44713</v>
      </c>
    </row>
    <row r="68" spans="1:12" x14ac:dyDescent="0.2">
      <c r="A68" t="s">
        <v>19</v>
      </c>
      <c r="B68" t="s">
        <v>16</v>
      </c>
      <c r="C68" t="s">
        <v>12</v>
      </c>
      <c r="D68">
        <v>15</v>
      </c>
      <c r="E68" t="s">
        <v>25</v>
      </c>
      <c r="F68">
        <v>6</v>
      </c>
      <c r="G68">
        <v>2022</v>
      </c>
      <c r="H68">
        <v>25</v>
      </c>
      <c r="I68">
        <v>400</v>
      </c>
      <c r="J68">
        <v>50</v>
      </c>
      <c r="K68">
        <v>16</v>
      </c>
      <c r="L68" s="1">
        <f>DATE(sales__2[[#This Row],[year]],sales__2[[#This Row],[month]],1)</f>
        <v>44713</v>
      </c>
    </row>
    <row r="69" spans="1:12" x14ac:dyDescent="0.2">
      <c r="A69" t="s">
        <v>19</v>
      </c>
      <c r="B69" t="s">
        <v>16</v>
      </c>
      <c r="C69" t="s">
        <v>12</v>
      </c>
      <c r="D69">
        <v>15</v>
      </c>
      <c r="E69" t="s">
        <v>27</v>
      </c>
      <c r="F69">
        <v>6</v>
      </c>
      <c r="G69">
        <v>2022</v>
      </c>
      <c r="H69">
        <v>22</v>
      </c>
      <c r="I69">
        <v>352</v>
      </c>
      <c r="J69">
        <v>45</v>
      </c>
      <c r="K69">
        <v>16</v>
      </c>
      <c r="L69" s="1">
        <f>DATE(sales__2[[#This Row],[year]],sales__2[[#This Row],[month]],1)</f>
        <v>44713</v>
      </c>
    </row>
    <row r="70" spans="1:12" x14ac:dyDescent="0.2">
      <c r="A70" t="s">
        <v>10</v>
      </c>
      <c r="B70" t="s">
        <v>11</v>
      </c>
      <c r="C70" t="s">
        <v>12</v>
      </c>
      <c r="D70">
        <v>30</v>
      </c>
      <c r="E70" t="s">
        <v>23</v>
      </c>
      <c r="F70">
        <v>6</v>
      </c>
      <c r="G70">
        <v>2022</v>
      </c>
      <c r="H70">
        <v>17</v>
      </c>
      <c r="I70">
        <v>544</v>
      </c>
      <c r="J70">
        <v>35</v>
      </c>
      <c r="K70">
        <v>32</v>
      </c>
      <c r="L70" s="1">
        <f>DATE(sales__2[[#This Row],[year]],sales__2[[#This Row],[month]],1)</f>
        <v>44713</v>
      </c>
    </row>
    <row r="71" spans="1:12" x14ac:dyDescent="0.2">
      <c r="A71" t="s">
        <v>13</v>
      </c>
      <c r="B71" t="s">
        <v>14</v>
      </c>
      <c r="C71" t="s">
        <v>20</v>
      </c>
      <c r="D71">
        <v>35</v>
      </c>
      <c r="E71" t="s">
        <v>23</v>
      </c>
      <c r="F71">
        <v>6</v>
      </c>
      <c r="G71">
        <v>2022</v>
      </c>
      <c r="H71">
        <v>9</v>
      </c>
      <c r="I71">
        <v>333</v>
      </c>
      <c r="J71">
        <v>20</v>
      </c>
      <c r="K71">
        <v>37</v>
      </c>
      <c r="L71" s="1">
        <f>DATE(sales__2[[#This Row],[year]],sales__2[[#This Row],[month]],1)</f>
        <v>44713</v>
      </c>
    </row>
    <row r="72" spans="1:12" x14ac:dyDescent="0.2">
      <c r="A72" t="s">
        <v>15</v>
      </c>
      <c r="B72" t="s">
        <v>16</v>
      </c>
      <c r="C72" t="s">
        <v>20</v>
      </c>
      <c r="D72">
        <v>20</v>
      </c>
      <c r="E72" t="s">
        <v>23</v>
      </c>
      <c r="F72">
        <v>6</v>
      </c>
      <c r="G72">
        <v>2022</v>
      </c>
      <c r="H72">
        <v>18</v>
      </c>
      <c r="I72">
        <v>399</v>
      </c>
      <c r="J72">
        <v>40</v>
      </c>
      <c r="K72">
        <v>21</v>
      </c>
      <c r="L72" s="1">
        <f>DATE(sales__2[[#This Row],[year]],sales__2[[#This Row],[month]],1)</f>
        <v>44713</v>
      </c>
    </row>
    <row r="73" spans="1:12" x14ac:dyDescent="0.2">
      <c r="A73" t="s">
        <v>19</v>
      </c>
      <c r="B73" t="s">
        <v>16</v>
      </c>
      <c r="C73" t="s">
        <v>20</v>
      </c>
      <c r="D73">
        <v>17</v>
      </c>
      <c r="E73" t="s">
        <v>23</v>
      </c>
      <c r="F73">
        <v>6</v>
      </c>
      <c r="G73">
        <v>2022</v>
      </c>
      <c r="H73">
        <v>23</v>
      </c>
      <c r="I73">
        <v>414</v>
      </c>
      <c r="J73">
        <v>45</v>
      </c>
      <c r="K73">
        <v>18</v>
      </c>
      <c r="L73" s="1">
        <f>DATE(sales__2[[#This Row],[year]],sales__2[[#This Row],[month]],1)</f>
        <v>44713</v>
      </c>
    </row>
    <row r="74" spans="1:12" x14ac:dyDescent="0.2">
      <c r="A74" t="s">
        <v>21</v>
      </c>
      <c r="B74" t="s">
        <v>11</v>
      </c>
      <c r="C74" t="s">
        <v>20</v>
      </c>
      <c r="D74">
        <v>33</v>
      </c>
      <c r="E74" t="s">
        <v>23</v>
      </c>
      <c r="F74">
        <v>6</v>
      </c>
      <c r="G74">
        <v>2022</v>
      </c>
      <c r="H74">
        <v>12</v>
      </c>
      <c r="I74">
        <v>432</v>
      </c>
      <c r="J74">
        <v>25</v>
      </c>
      <c r="K74">
        <v>36</v>
      </c>
      <c r="L74" s="1">
        <f>DATE(sales__2[[#This Row],[year]],sales__2[[#This Row],[month]],1)</f>
        <v>44713</v>
      </c>
    </row>
    <row r="75" spans="1:12" x14ac:dyDescent="0.2">
      <c r="A75" t="s">
        <v>10</v>
      </c>
      <c r="B75" t="s">
        <v>11</v>
      </c>
      <c r="C75" t="s">
        <v>12</v>
      </c>
      <c r="D75">
        <v>28</v>
      </c>
      <c r="E75" t="s">
        <v>23</v>
      </c>
      <c r="F75">
        <v>7</v>
      </c>
      <c r="G75">
        <v>2022</v>
      </c>
      <c r="H75">
        <v>20</v>
      </c>
      <c r="I75">
        <v>620</v>
      </c>
      <c r="J75">
        <v>45</v>
      </c>
      <c r="K75">
        <v>31</v>
      </c>
      <c r="L75" s="1">
        <f>DATE(sales__2[[#This Row],[year]],sales__2[[#This Row],[month]],1)</f>
        <v>44743</v>
      </c>
    </row>
    <row r="76" spans="1:12" x14ac:dyDescent="0.2">
      <c r="A76" t="s">
        <v>10</v>
      </c>
      <c r="B76" t="s">
        <v>11</v>
      </c>
      <c r="C76" t="s">
        <v>12</v>
      </c>
      <c r="D76">
        <v>28</v>
      </c>
      <c r="E76" t="s">
        <v>27</v>
      </c>
      <c r="F76">
        <v>7</v>
      </c>
      <c r="G76">
        <v>2022</v>
      </c>
      <c r="H76">
        <v>16</v>
      </c>
      <c r="I76">
        <v>496</v>
      </c>
      <c r="J76">
        <v>35</v>
      </c>
      <c r="K76">
        <v>31</v>
      </c>
      <c r="L76" s="1">
        <f>DATE(sales__2[[#This Row],[year]],sales__2[[#This Row],[month]],1)</f>
        <v>44743</v>
      </c>
    </row>
    <row r="77" spans="1:12" x14ac:dyDescent="0.2">
      <c r="A77" t="s">
        <v>13</v>
      </c>
      <c r="B77" t="s">
        <v>14</v>
      </c>
      <c r="C77" t="s">
        <v>12</v>
      </c>
      <c r="D77">
        <v>32</v>
      </c>
      <c r="E77" t="s">
        <v>23</v>
      </c>
      <c r="F77">
        <v>7</v>
      </c>
      <c r="G77">
        <v>2022</v>
      </c>
      <c r="H77">
        <v>3</v>
      </c>
      <c r="I77">
        <v>476</v>
      </c>
      <c r="J77">
        <v>30</v>
      </c>
      <c r="K77">
        <v>34</v>
      </c>
      <c r="L77" s="1">
        <f>DATE(sales__2[[#This Row],[year]],sales__2[[#This Row],[month]],1)</f>
        <v>44743</v>
      </c>
    </row>
    <row r="78" spans="1:12" x14ac:dyDescent="0.2">
      <c r="A78" t="s">
        <v>15</v>
      </c>
      <c r="B78" t="s">
        <v>16</v>
      </c>
      <c r="C78" t="s">
        <v>12</v>
      </c>
      <c r="D78">
        <v>18</v>
      </c>
      <c r="E78" t="s">
        <v>23</v>
      </c>
      <c r="F78">
        <v>7</v>
      </c>
      <c r="G78">
        <v>2022</v>
      </c>
      <c r="H78">
        <v>25</v>
      </c>
      <c r="I78">
        <v>475</v>
      </c>
      <c r="J78">
        <v>50</v>
      </c>
      <c r="K78">
        <v>19</v>
      </c>
      <c r="L78" s="1">
        <f>DATE(sales__2[[#This Row],[year]],sales__2[[#This Row],[month]],1)</f>
        <v>44743</v>
      </c>
    </row>
    <row r="79" spans="1:12" x14ac:dyDescent="0.2">
      <c r="A79" t="s">
        <v>15</v>
      </c>
      <c r="B79" t="s">
        <v>16</v>
      </c>
      <c r="C79" t="s">
        <v>12</v>
      </c>
      <c r="D79">
        <v>18</v>
      </c>
      <c r="E79" t="s">
        <v>25</v>
      </c>
      <c r="F79">
        <v>7</v>
      </c>
      <c r="G79">
        <v>2022</v>
      </c>
      <c r="H79">
        <v>25</v>
      </c>
      <c r="I79">
        <v>532</v>
      </c>
      <c r="J79">
        <v>55</v>
      </c>
      <c r="K79">
        <v>19</v>
      </c>
      <c r="L79" s="1">
        <f>DATE(sales__2[[#This Row],[year]],sales__2[[#This Row],[month]],1)</f>
        <v>44743</v>
      </c>
    </row>
    <row r="80" spans="1:12" x14ac:dyDescent="0.2">
      <c r="A80" t="s">
        <v>19</v>
      </c>
      <c r="B80" t="s">
        <v>16</v>
      </c>
      <c r="C80" t="s">
        <v>12</v>
      </c>
      <c r="D80">
        <v>15</v>
      </c>
      <c r="E80" t="s">
        <v>23</v>
      </c>
      <c r="F80">
        <v>7</v>
      </c>
      <c r="G80">
        <v>2022</v>
      </c>
      <c r="H80">
        <v>30</v>
      </c>
      <c r="I80">
        <v>480</v>
      </c>
      <c r="J80">
        <v>60</v>
      </c>
      <c r="K80">
        <v>16</v>
      </c>
      <c r="L80" s="1">
        <f>DATE(sales__2[[#This Row],[year]],sales__2[[#This Row],[month]],1)</f>
        <v>44743</v>
      </c>
    </row>
    <row r="81" spans="1:12" x14ac:dyDescent="0.2">
      <c r="A81" t="s">
        <v>19</v>
      </c>
      <c r="B81" t="s">
        <v>16</v>
      </c>
      <c r="C81" t="s">
        <v>12</v>
      </c>
      <c r="D81">
        <v>15</v>
      </c>
      <c r="E81" t="s">
        <v>25</v>
      </c>
      <c r="F81">
        <v>7</v>
      </c>
      <c r="G81">
        <v>2022</v>
      </c>
      <c r="H81">
        <v>28</v>
      </c>
      <c r="I81">
        <v>448</v>
      </c>
      <c r="J81">
        <v>55</v>
      </c>
      <c r="K81">
        <v>16</v>
      </c>
      <c r="L81" s="1">
        <f>DATE(sales__2[[#This Row],[year]],sales__2[[#This Row],[month]],1)</f>
        <v>44743</v>
      </c>
    </row>
    <row r="82" spans="1:12" x14ac:dyDescent="0.2">
      <c r="A82" t="s">
        <v>19</v>
      </c>
      <c r="B82" t="s">
        <v>16</v>
      </c>
      <c r="C82" t="s">
        <v>12</v>
      </c>
      <c r="D82">
        <v>15</v>
      </c>
      <c r="E82" t="s">
        <v>27</v>
      </c>
      <c r="F82">
        <v>7</v>
      </c>
      <c r="G82">
        <v>2022</v>
      </c>
      <c r="H82">
        <v>25</v>
      </c>
      <c r="I82">
        <v>400</v>
      </c>
      <c r="J82">
        <v>50</v>
      </c>
      <c r="K82">
        <v>16</v>
      </c>
      <c r="L82" s="1">
        <f>DATE(sales__2[[#This Row],[year]],sales__2[[#This Row],[month]],1)</f>
        <v>44743</v>
      </c>
    </row>
    <row r="83" spans="1:12" x14ac:dyDescent="0.2">
      <c r="A83" t="s">
        <v>10</v>
      </c>
      <c r="B83" t="s">
        <v>11</v>
      </c>
      <c r="C83" t="s">
        <v>12</v>
      </c>
      <c r="D83">
        <v>30</v>
      </c>
      <c r="E83" t="s">
        <v>23</v>
      </c>
      <c r="F83">
        <v>7</v>
      </c>
      <c r="G83">
        <v>2022</v>
      </c>
      <c r="H83">
        <v>19</v>
      </c>
      <c r="I83">
        <v>608</v>
      </c>
      <c r="J83">
        <v>40</v>
      </c>
      <c r="K83">
        <v>32</v>
      </c>
      <c r="L83" s="1">
        <f>DATE(sales__2[[#This Row],[year]],sales__2[[#This Row],[month]],1)</f>
        <v>44743</v>
      </c>
    </row>
    <row r="84" spans="1:12" x14ac:dyDescent="0.2">
      <c r="A84" t="s">
        <v>13</v>
      </c>
      <c r="B84" t="s">
        <v>14</v>
      </c>
      <c r="C84" t="s">
        <v>20</v>
      </c>
      <c r="D84">
        <v>35</v>
      </c>
      <c r="E84" t="s">
        <v>23</v>
      </c>
      <c r="F84">
        <v>7</v>
      </c>
      <c r="G84">
        <v>2022</v>
      </c>
      <c r="H84">
        <v>10</v>
      </c>
      <c r="I84">
        <v>370</v>
      </c>
      <c r="J84">
        <v>22</v>
      </c>
      <c r="K84">
        <v>37</v>
      </c>
      <c r="L84" s="1">
        <f>DATE(sales__2[[#This Row],[year]],sales__2[[#This Row],[month]],1)</f>
        <v>44743</v>
      </c>
    </row>
    <row r="85" spans="1:12" x14ac:dyDescent="0.2">
      <c r="A85" t="s">
        <v>15</v>
      </c>
      <c r="B85" t="s">
        <v>16</v>
      </c>
      <c r="C85" t="s">
        <v>20</v>
      </c>
      <c r="D85">
        <v>20</v>
      </c>
      <c r="E85" t="s">
        <v>23</v>
      </c>
      <c r="F85">
        <v>7</v>
      </c>
      <c r="G85">
        <v>2022</v>
      </c>
      <c r="H85">
        <v>23</v>
      </c>
      <c r="I85">
        <v>462</v>
      </c>
      <c r="J85">
        <v>45</v>
      </c>
      <c r="K85">
        <v>21</v>
      </c>
      <c r="L85" s="1">
        <f>DATE(sales__2[[#This Row],[year]],sales__2[[#This Row],[month]],1)</f>
        <v>44743</v>
      </c>
    </row>
    <row r="86" spans="1:12" x14ac:dyDescent="0.2">
      <c r="A86" t="s">
        <v>19</v>
      </c>
      <c r="B86" t="s">
        <v>16</v>
      </c>
      <c r="C86" t="s">
        <v>20</v>
      </c>
      <c r="D86">
        <v>17</v>
      </c>
      <c r="E86" t="s">
        <v>23</v>
      </c>
      <c r="F86">
        <v>7</v>
      </c>
      <c r="G86">
        <v>2022</v>
      </c>
      <c r="H86">
        <v>26</v>
      </c>
      <c r="I86">
        <v>468</v>
      </c>
      <c r="J86">
        <v>50</v>
      </c>
      <c r="K86">
        <v>18</v>
      </c>
      <c r="L86" s="1">
        <f>DATE(sales__2[[#This Row],[year]],sales__2[[#This Row],[month]],1)</f>
        <v>44743</v>
      </c>
    </row>
    <row r="87" spans="1:12" x14ac:dyDescent="0.2">
      <c r="A87" t="s">
        <v>21</v>
      </c>
      <c r="B87" t="s">
        <v>11</v>
      </c>
      <c r="C87" t="s">
        <v>20</v>
      </c>
      <c r="D87">
        <v>33</v>
      </c>
      <c r="E87" t="s">
        <v>23</v>
      </c>
      <c r="F87">
        <v>7</v>
      </c>
      <c r="G87">
        <v>2022</v>
      </c>
      <c r="H87">
        <v>14</v>
      </c>
      <c r="I87">
        <v>504</v>
      </c>
      <c r="J87">
        <v>30</v>
      </c>
      <c r="K87">
        <v>36</v>
      </c>
      <c r="L87" s="1">
        <f>DATE(sales__2[[#This Row],[year]],sales__2[[#This Row],[month]],1)</f>
        <v>44743</v>
      </c>
    </row>
    <row r="88" spans="1:12" x14ac:dyDescent="0.2">
      <c r="A88" t="s">
        <v>10</v>
      </c>
      <c r="B88" t="s">
        <v>11</v>
      </c>
      <c r="C88" t="s">
        <v>12</v>
      </c>
      <c r="D88">
        <v>28</v>
      </c>
      <c r="E88" t="s">
        <v>23</v>
      </c>
      <c r="F88">
        <v>8</v>
      </c>
      <c r="G88">
        <v>2022</v>
      </c>
      <c r="H88">
        <v>18</v>
      </c>
      <c r="I88">
        <v>558</v>
      </c>
      <c r="J88">
        <v>40</v>
      </c>
      <c r="K88">
        <v>31</v>
      </c>
      <c r="L88" s="1">
        <f>DATE(sales__2[[#This Row],[year]],sales__2[[#This Row],[month]],1)</f>
        <v>44774</v>
      </c>
    </row>
    <row r="89" spans="1:12" x14ac:dyDescent="0.2">
      <c r="A89" t="s">
        <v>10</v>
      </c>
      <c r="B89" t="s">
        <v>11</v>
      </c>
      <c r="C89" t="s">
        <v>12</v>
      </c>
      <c r="D89">
        <v>28</v>
      </c>
      <c r="E89" t="s">
        <v>25</v>
      </c>
      <c r="F89">
        <v>8</v>
      </c>
      <c r="G89">
        <v>2022</v>
      </c>
      <c r="H89">
        <v>14</v>
      </c>
      <c r="I89">
        <v>434</v>
      </c>
      <c r="J89">
        <v>30</v>
      </c>
      <c r="K89">
        <v>31</v>
      </c>
      <c r="L89" s="1">
        <f>DATE(sales__2[[#This Row],[year]],sales__2[[#This Row],[month]],1)</f>
        <v>44774</v>
      </c>
    </row>
    <row r="90" spans="1:12" x14ac:dyDescent="0.2">
      <c r="A90" t="s">
        <v>13</v>
      </c>
      <c r="B90" t="s">
        <v>14</v>
      </c>
      <c r="C90" t="s">
        <v>12</v>
      </c>
      <c r="D90">
        <v>32</v>
      </c>
      <c r="E90" t="s">
        <v>23</v>
      </c>
      <c r="F90">
        <v>8</v>
      </c>
      <c r="G90">
        <v>2022</v>
      </c>
      <c r="H90">
        <v>13</v>
      </c>
      <c r="I90">
        <v>442</v>
      </c>
      <c r="J90">
        <v>30</v>
      </c>
      <c r="K90">
        <v>34</v>
      </c>
      <c r="L90" s="1">
        <f>DATE(sales__2[[#This Row],[year]],sales__2[[#This Row],[month]],1)</f>
        <v>44774</v>
      </c>
    </row>
    <row r="91" spans="1:12" x14ac:dyDescent="0.2">
      <c r="A91" t="s">
        <v>15</v>
      </c>
      <c r="B91" t="s">
        <v>16</v>
      </c>
      <c r="C91" t="s">
        <v>12</v>
      </c>
      <c r="D91">
        <v>18</v>
      </c>
      <c r="E91" t="s">
        <v>23</v>
      </c>
      <c r="F91">
        <v>8</v>
      </c>
      <c r="G91">
        <v>2022</v>
      </c>
      <c r="H91">
        <v>23</v>
      </c>
      <c r="I91">
        <v>437</v>
      </c>
      <c r="J91">
        <v>45</v>
      </c>
      <c r="K91">
        <v>19</v>
      </c>
      <c r="L91" s="1">
        <f>DATE(sales__2[[#This Row],[year]],sales__2[[#This Row],[month]],1)</f>
        <v>44774</v>
      </c>
    </row>
    <row r="92" spans="1:12" x14ac:dyDescent="0.2">
      <c r="A92" t="s">
        <v>15</v>
      </c>
      <c r="B92" t="s">
        <v>16</v>
      </c>
      <c r="C92" t="s">
        <v>12</v>
      </c>
      <c r="D92">
        <v>18</v>
      </c>
      <c r="E92" t="s">
        <v>25</v>
      </c>
      <c r="F92">
        <v>8</v>
      </c>
      <c r="G92">
        <v>2022</v>
      </c>
      <c r="H92">
        <v>25</v>
      </c>
      <c r="I92">
        <v>475</v>
      </c>
      <c r="J92">
        <v>50</v>
      </c>
      <c r="K92">
        <v>19</v>
      </c>
      <c r="L92" s="1">
        <f>DATE(sales__2[[#This Row],[year]],sales__2[[#This Row],[month]],1)</f>
        <v>44774</v>
      </c>
    </row>
    <row r="93" spans="1:12" x14ac:dyDescent="0.2">
      <c r="A93" t="s">
        <v>19</v>
      </c>
      <c r="B93" t="s">
        <v>16</v>
      </c>
      <c r="C93" t="s">
        <v>12</v>
      </c>
      <c r="D93">
        <v>15</v>
      </c>
      <c r="E93" t="s">
        <v>23</v>
      </c>
      <c r="F93">
        <v>8</v>
      </c>
      <c r="G93">
        <v>2022</v>
      </c>
      <c r="H93">
        <v>27</v>
      </c>
      <c r="I93">
        <v>432</v>
      </c>
      <c r="J93">
        <v>55</v>
      </c>
      <c r="K93">
        <v>16</v>
      </c>
      <c r="L93" s="1">
        <f>DATE(sales__2[[#This Row],[year]],sales__2[[#This Row],[month]],1)</f>
        <v>44774</v>
      </c>
    </row>
    <row r="94" spans="1:12" x14ac:dyDescent="0.2">
      <c r="A94" t="s">
        <v>19</v>
      </c>
      <c r="B94" t="s">
        <v>16</v>
      </c>
      <c r="C94" t="s">
        <v>12</v>
      </c>
      <c r="D94">
        <v>15</v>
      </c>
      <c r="E94" t="s">
        <v>25</v>
      </c>
      <c r="F94">
        <v>8</v>
      </c>
      <c r="G94">
        <v>2022</v>
      </c>
      <c r="H94">
        <v>25</v>
      </c>
      <c r="I94">
        <v>400</v>
      </c>
      <c r="J94">
        <v>50</v>
      </c>
      <c r="K94">
        <v>16</v>
      </c>
      <c r="L94" s="1">
        <f>DATE(sales__2[[#This Row],[year]],sales__2[[#This Row],[month]],1)</f>
        <v>44774</v>
      </c>
    </row>
    <row r="95" spans="1:12" x14ac:dyDescent="0.2">
      <c r="A95" t="s">
        <v>10</v>
      </c>
      <c r="B95" t="s">
        <v>11</v>
      </c>
      <c r="C95" t="s">
        <v>12</v>
      </c>
      <c r="D95">
        <v>30</v>
      </c>
      <c r="E95" t="s">
        <v>23</v>
      </c>
      <c r="F95">
        <v>8</v>
      </c>
      <c r="G95">
        <v>2022</v>
      </c>
      <c r="H95">
        <v>17</v>
      </c>
      <c r="I95">
        <v>544</v>
      </c>
      <c r="J95">
        <v>35</v>
      </c>
      <c r="K95">
        <v>32</v>
      </c>
      <c r="L95" s="1">
        <f>DATE(sales__2[[#This Row],[year]],sales__2[[#This Row],[month]],1)</f>
        <v>44774</v>
      </c>
    </row>
    <row r="96" spans="1:12" x14ac:dyDescent="0.2">
      <c r="A96" t="s">
        <v>13</v>
      </c>
      <c r="B96" t="s">
        <v>14</v>
      </c>
      <c r="C96" t="s">
        <v>20</v>
      </c>
      <c r="D96">
        <v>35</v>
      </c>
      <c r="E96" t="s">
        <v>23</v>
      </c>
      <c r="F96">
        <v>8</v>
      </c>
      <c r="G96">
        <v>2022</v>
      </c>
      <c r="H96">
        <v>10</v>
      </c>
      <c r="I96">
        <v>333</v>
      </c>
      <c r="J96">
        <v>20</v>
      </c>
      <c r="K96">
        <v>37</v>
      </c>
      <c r="L96" s="1">
        <f>DATE(sales__2[[#This Row],[year]],sales__2[[#This Row],[month]],1)</f>
        <v>44774</v>
      </c>
    </row>
    <row r="97" spans="1:12" x14ac:dyDescent="0.2">
      <c r="A97" t="s">
        <v>15</v>
      </c>
      <c r="B97" t="s">
        <v>16</v>
      </c>
      <c r="C97" t="s">
        <v>20</v>
      </c>
      <c r="D97">
        <v>20</v>
      </c>
      <c r="E97" t="s">
        <v>23</v>
      </c>
      <c r="F97">
        <v>8</v>
      </c>
      <c r="G97">
        <v>2022</v>
      </c>
      <c r="H97">
        <v>21</v>
      </c>
      <c r="I97">
        <v>420</v>
      </c>
      <c r="J97">
        <v>40</v>
      </c>
      <c r="K97">
        <v>21</v>
      </c>
      <c r="L97" s="1">
        <f>DATE(sales__2[[#This Row],[year]],sales__2[[#This Row],[month]],1)</f>
        <v>44774</v>
      </c>
    </row>
    <row r="98" spans="1:12" x14ac:dyDescent="0.2">
      <c r="A98" t="s">
        <v>19</v>
      </c>
      <c r="B98" t="s">
        <v>16</v>
      </c>
      <c r="C98" t="s">
        <v>20</v>
      </c>
      <c r="D98">
        <v>17</v>
      </c>
      <c r="E98" t="s">
        <v>23</v>
      </c>
      <c r="F98">
        <v>8</v>
      </c>
      <c r="G98">
        <v>2022</v>
      </c>
      <c r="H98">
        <v>24</v>
      </c>
      <c r="I98">
        <v>432</v>
      </c>
      <c r="J98">
        <v>45</v>
      </c>
      <c r="K98">
        <v>18</v>
      </c>
      <c r="L98" s="1">
        <f>DATE(sales__2[[#This Row],[year]],sales__2[[#This Row],[month]],1)</f>
        <v>44774</v>
      </c>
    </row>
    <row r="99" spans="1:12" x14ac:dyDescent="0.2">
      <c r="A99" t="s">
        <v>21</v>
      </c>
      <c r="B99" t="s">
        <v>11</v>
      </c>
      <c r="C99" t="s">
        <v>20</v>
      </c>
      <c r="D99">
        <v>33</v>
      </c>
      <c r="E99" t="s">
        <v>23</v>
      </c>
      <c r="F99">
        <v>8</v>
      </c>
      <c r="G99">
        <v>2022</v>
      </c>
      <c r="H99">
        <v>13</v>
      </c>
      <c r="I99">
        <v>468</v>
      </c>
      <c r="J99">
        <v>30</v>
      </c>
      <c r="K99">
        <v>36</v>
      </c>
      <c r="L99" s="1">
        <f>DATE(sales__2[[#This Row],[year]],sales__2[[#This Row],[month]],1)</f>
        <v>44774</v>
      </c>
    </row>
    <row r="100" spans="1:12" x14ac:dyDescent="0.2">
      <c r="A100" t="s">
        <v>10</v>
      </c>
      <c r="B100" t="s">
        <v>11</v>
      </c>
      <c r="C100" t="s">
        <v>12</v>
      </c>
      <c r="D100">
        <v>28</v>
      </c>
      <c r="E100" t="s">
        <v>23</v>
      </c>
      <c r="F100">
        <v>9</v>
      </c>
      <c r="G100">
        <v>2022</v>
      </c>
      <c r="H100">
        <v>15</v>
      </c>
      <c r="I100">
        <v>465</v>
      </c>
      <c r="J100">
        <v>35</v>
      </c>
      <c r="K100">
        <v>31</v>
      </c>
      <c r="L100" s="1">
        <f>DATE(sales__2[[#This Row],[year]],sales__2[[#This Row],[month]],1)</f>
        <v>44805</v>
      </c>
    </row>
    <row r="101" spans="1:12" x14ac:dyDescent="0.2">
      <c r="A101" t="s">
        <v>10</v>
      </c>
      <c r="B101" t="s">
        <v>11</v>
      </c>
      <c r="C101" t="s">
        <v>12</v>
      </c>
      <c r="D101">
        <v>28</v>
      </c>
      <c r="E101" t="s">
        <v>25</v>
      </c>
      <c r="F101">
        <v>9</v>
      </c>
      <c r="G101">
        <v>2022</v>
      </c>
      <c r="H101">
        <v>12</v>
      </c>
      <c r="I101">
        <v>372</v>
      </c>
      <c r="J101">
        <v>25</v>
      </c>
      <c r="K101">
        <v>31</v>
      </c>
      <c r="L101" s="1">
        <f>DATE(sales__2[[#This Row],[year]],sales__2[[#This Row],[month]],1)</f>
        <v>44805</v>
      </c>
    </row>
    <row r="102" spans="1:12" x14ac:dyDescent="0.2">
      <c r="A102" t="s">
        <v>13</v>
      </c>
      <c r="B102" t="s">
        <v>14</v>
      </c>
      <c r="C102" t="s">
        <v>12</v>
      </c>
      <c r="D102">
        <v>32</v>
      </c>
      <c r="E102" t="s">
        <v>23</v>
      </c>
      <c r="F102">
        <v>9</v>
      </c>
      <c r="G102">
        <v>2022</v>
      </c>
      <c r="H102">
        <v>11</v>
      </c>
      <c r="I102">
        <v>374</v>
      </c>
      <c r="J102">
        <v>25</v>
      </c>
      <c r="K102">
        <v>34</v>
      </c>
      <c r="L102" s="1">
        <f>DATE(sales__2[[#This Row],[year]],sales__2[[#This Row],[month]],1)</f>
        <v>44805</v>
      </c>
    </row>
    <row r="103" spans="1:12" x14ac:dyDescent="0.2">
      <c r="A103" t="s">
        <v>15</v>
      </c>
      <c r="B103" t="s">
        <v>16</v>
      </c>
      <c r="C103" t="s">
        <v>12</v>
      </c>
      <c r="D103">
        <v>18</v>
      </c>
      <c r="E103" t="s">
        <v>23</v>
      </c>
      <c r="F103">
        <v>9</v>
      </c>
      <c r="G103">
        <v>2022</v>
      </c>
      <c r="H103">
        <v>20</v>
      </c>
      <c r="I103">
        <v>380</v>
      </c>
      <c r="J103">
        <v>40</v>
      </c>
      <c r="K103">
        <v>19</v>
      </c>
      <c r="L103" s="1">
        <f>DATE(sales__2[[#This Row],[year]],sales__2[[#This Row],[month]],1)</f>
        <v>44805</v>
      </c>
    </row>
    <row r="104" spans="1:12" x14ac:dyDescent="0.2">
      <c r="A104" t="s">
        <v>15</v>
      </c>
      <c r="B104" t="s">
        <v>16</v>
      </c>
      <c r="C104" t="s">
        <v>12</v>
      </c>
      <c r="D104">
        <v>18</v>
      </c>
      <c r="E104" t="s">
        <v>25</v>
      </c>
      <c r="F104">
        <v>9</v>
      </c>
      <c r="G104">
        <v>2022</v>
      </c>
      <c r="H104">
        <v>21</v>
      </c>
      <c r="I104">
        <v>418</v>
      </c>
      <c r="J104">
        <v>45</v>
      </c>
      <c r="K104">
        <v>19</v>
      </c>
      <c r="L104" s="1">
        <f>DATE(sales__2[[#This Row],[year]],sales__2[[#This Row],[month]],1)</f>
        <v>44805</v>
      </c>
    </row>
    <row r="105" spans="1:12" x14ac:dyDescent="0.2">
      <c r="A105" t="s">
        <v>19</v>
      </c>
      <c r="B105" t="s">
        <v>16</v>
      </c>
      <c r="C105" t="s">
        <v>12</v>
      </c>
      <c r="D105">
        <v>15</v>
      </c>
      <c r="E105" t="s">
        <v>23</v>
      </c>
      <c r="F105">
        <v>9</v>
      </c>
      <c r="G105">
        <v>2022</v>
      </c>
      <c r="H105">
        <v>25</v>
      </c>
      <c r="I105">
        <v>400</v>
      </c>
      <c r="J105">
        <v>50</v>
      </c>
      <c r="K105">
        <v>16</v>
      </c>
      <c r="L105" s="1">
        <f>DATE(sales__2[[#This Row],[year]],sales__2[[#This Row],[month]],1)</f>
        <v>44805</v>
      </c>
    </row>
    <row r="106" spans="1:12" x14ac:dyDescent="0.2">
      <c r="A106" t="s">
        <v>19</v>
      </c>
      <c r="B106" t="s">
        <v>16</v>
      </c>
      <c r="C106" t="s">
        <v>12</v>
      </c>
      <c r="D106">
        <v>15</v>
      </c>
      <c r="E106" t="s">
        <v>25</v>
      </c>
      <c r="F106">
        <v>9</v>
      </c>
      <c r="G106">
        <v>2022</v>
      </c>
      <c r="H106">
        <v>22</v>
      </c>
      <c r="I106">
        <v>352</v>
      </c>
      <c r="J106">
        <v>45</v>
      </c>
      <c r="K106">
        <v>16</v>
      </c>
      <c r="L106" s="1">
        <f>DATE(sales__2[[#This Row],[year]],sales__2[[#This Row],[month]],1)</f>
        <v>44805</v>
      </c>
    </row>
    <row r="107" spans="1:12" x14ac:dyDescent="0.2">
      <c r="A107" t="s">
        <v>10</v>
      </c>
      <c r="B107" t="s">
        <v>11</v>
      </c>
      <c r="C107" t="s">
        <v>12</v>
      </c>
      <c r="D107">
        <v>30</v>
      </c>
      <c r="E107" t="s">
        <v>23</v>
      </c>
      <c r="F107">
        <v>9</v>
      </c>
      <c r="G107">
        <v>2022</v>
      </c>
      <c r="H107">
        <v>14</v>
      </c>
      <c r="I107">
        <v>448</v>
      </c>
      <c r="J107">
        <v>30</v>
      </c>
      <c r="K107">
        <v>32</v>
      </c>
      <c r="L107" s="1">
        <f>DATE(sales__2[[#This Row],[year]],sales__2[[#This Row],[month]],1)</f>
        <v>44805</v>
      </c>
    </row>
    <row r="108" spans="1:12" x14ac:dyDescent="0.2">
      <c r="A108" t="s">
        <v>13</v>
      </c>
      <c r="B108" t="s">
        <v>14</v>
      </c>
      <c r="C108" t="s">
        <v>20</v>
      </c>
      <c r="D108">
        <v>35</v>
      </c>
      <c r="E108" t="s">
        <v>23</v>
      </c>
      <c r="F108">
        <v>9</v>
      </c>
      <c r="G108">
        <v>2022</v>
      </c>
      <c r="H108">
        <v>9</v>
      </c>
      <c r="I108">
        <v>296</v>
      </c>
      <c r="J108">
        <v>20</v>
      </c>
      <c r="K108">
        <v>37</v>
      </c>
      <c r="L108" s="1">
        <f>DATE(sales__2[[#This Row],[year]],sales__2[[#This Row],[month]],1)</f>
        <v>44805</v>
      </c>
    </row>
    <row r="109" spans="1:12" x14ac:dyDescent="0.2">
      <c r="A109" t="s">
        <v>15</v>
      </c>
      <c r="B109" t="s">
        <v>16</v>
      </c>
      <c r="C109" t="s">
        <v>20</v>
      </c>
      <c r="D109">
        <v>20</v>
      </c>
      <c r="E109" t="s">
        <v>23</v>
      </c>
      <c r="F109">
        <v>9</v>
      </c>
      <c r="G109">
        <v>2022</v>
      </c>
      <c r="H109">
        <v>19</v>
      </c>
      <c r="I109">
        <v>378</v>
      </c>
      <c r="J109">
        <v>35</v>
      </c>
      <c r="K109">
        <v>21</v>
      </c>
      <c r="L109" s="1">
        <f>DATE(sales__2[[#This Row],[year]],sales__2[[#This Row],[month]],1)</f>
        <v>44805</v>
      </c>
    </row>
    <row r="110" spans="1:12" x14ac:dyDescent="0.2">
      <c r="A110" t="s">
        <v>19</v>
      </c>
      <c r="B110" t="s">
        <v>16</v>
      </c>
      <c r="C110" t="s">
        <v>20</v>
      </c>
      <c r="D110">
        <v>17</v>
      </c>
      <c r="E110" t="s">
        <v>23</v>
      </c>
      <c r="F110">
        <v>9</v>
      </c>
      <c r="G110">
        <v>2022</v>
      </c>
      <c r="H110">
        <v>21</v>
      </c>
      <c r="I110">
        <v>378</v>
      </c>
      <c r="J110">
        <v>40</v>
      </c>
      <c r="K110">
        <v>18</v>
      </c>
      <c r="L110" s="1">
        <f>DATE(sales__2[[#This Row],[year]],sales__2[[#This Row],[month]],1)</f>
        <v>44805</v>
      </c>
    </row>
    <row r="111" spans="1:12" x14ac:dyDescent="0.2">
      <c r="A111" t="s">
        <v>21</v>
      </c>
      <c r="B111" t="s">
        <v>11</v>
      </c>
      <c r="C111" t="s">
        <v>20</v>
      </c>
      <c r="D111">
        <v>33</v>
      </c>
      <c r="E111" t="s">
        <v>23</v>
      </c>
      <c r="F111">
        <v>9</v>
      </c>
      <c r="G111">
        <v>2022</v>
      </c>
      <c r="H111">
        <v>11</v>
      </c>
      <c r="I111">
        <v>396</v>
      </c>
      <c r="J111">
        <v>25</v>
      </c>
      <c r="K111">
        <v>36</v>
      </c>
      <c r="L111" s="1">
        <f>DATE(sales__2[[#This Row],[year]],sales__2[[#This Row],[month]],1)</f>
        <v>44805</v>
      </c>
    </row>
    <row r="112" spans="1:12" x14ac:dyDescent="0.2">
      <c r="A112" t="s">
        <v>10</v>
      </c>
      <c r="B112" t="s">
        <v>11</v>
      </c>
      <c r="C112" t="s">
        <v>12</v>
      </c>
      <c r="D112">
        <v>28</v>
      </c>
      <c r="E112" t="s">
        <v>23</v>
      </c>
      <c r="F112">
        <v>10</v>
      </c>
      <c r="G112">
        <v>2022</v>
      </c>
      <c r="H112">
        <v>13</v>
      </c>
      <c r="I112">
        <v>403</v>
      </c>
      <c r="J112">
        <v>30</v>
      </c>
      <c r="K112">
        <v>31</v>
      </c>
      <c r="L112" s="1">
        <f>DATE(sales__2[[#This Row],[year]],sales__2[[#This Row],[month]],1)</f>
        <v>44835</v>
      </c>
    </row>
    <row r="113" spans="1:12" x14ac:dyDescent="0.2">
      <c r="A113" t="s">
        <v>10</v>
      </c>
      <c r="B113" t="s">
        <v>11</v>
      </c>
      <c r="C113" t="s">
        <v>12</v>
      </c>
      <c r="D113">
        <v>28</v>
      </c>
      <c r="E113" t="s">
        <v>25</v>
      </c>
      <c r="F113">
        <v>10</v>
      </c>
      <c r="G113">
        <v>2022</v>
      </c>
      <c r="H113">
        <v>10</v>
      </c>
      <c r="I113">
        <v>310</v>
      </c>
      <c r="J113">
        <v>20</v>
      </c>
      <c r="K113">
        <v>31</v>
      </c>
      <c r="L113" s="1">
        <f>DATE(sales__2[[#This Row],[year]],sales__2[[#This Row],[month]],1)</f>
        <v>44835</v>
      </c>
    </row>
    <row r="114" spans="1:12" x14ac:dyDescent="0.2">
      <c r="A114" t="s">
        <v>13</v>
      </c>
      <c r="B114" t="s">
        <v>14</v>
      </c>
      <c r="C114" t="s">
        <v>12</v>
      </c>
      <c r="D114">
        <v>32</v>
      </c>
      <c r="E114" t="s">
        <v>23</v>
      </c>
      <c r="F114">
        <v>10</v>
      </c>
      <c r="G114">
        <v>2022</v>
      </c>
      <c r="H114">
        <v>10</v>
      </c>
      <c r="I114">
        <v>340</v>
      </c>
      <c r="J114">
        <v>22</v>
      </c>
      <c r="K114">
        <v>34</v>
      </c>
      <c r="L114" s="1">
        <f>DATE(sales__2[[#This Row],[year]],sales__2[[#This Row],[month]],1)</f>
        <v>44835</v>
      </c>
    </row>
    <row r="115" spans="1:12" x14ac:dyDescent="0.2">
      <c r="A115" t="s">
        <v>15</v>
      </c>
      <c r="B115" t="s">
        <v>16</v>
      </c>
      <c r="C115" t="s">
        <v>12</v>
      </c>
      <c r="D115">
        <v>18</v>
      </c>
      <c r="E115" t="s">
        <v>23</v>
      </c>
      <c r="F115">
        <v>10</v>
      </c>
      <c r="G115">
        <v>2022</v>
      </c>
      <c r="H115">
        <v>18</v>
      </c>
      <c r="I115">
        <v>342</v>
      </c>
      <c r="J115">
        <v>35</v>
      </c>
      <c r="K115">
        <v>19</v>
      </c>
      <c r="L115" s="1">
        <f>DATE(sales__2[[#This Row],[year]],sales__2[[#This Row],[month]],1)</f>
        <v>44835</v>
      </c>
    </row>
    <row r="116" spans="1:12" x14ac:dyDescent="0.2">
      <c r="A116" t="s">
        <v>17</v>
      </c>
      <c r="B116" t="s">
        <v>18</v>
      </c>
      <c r="C116" t="s">
        <v>12</v>
      </c>
      <c r="D116">
        <v>45</v>
      </c>
      <c r="E116" t="s">
        <v>23</v>
      </c>
      <c r="F116">
        <v>10</v>
      </c>
      <c r="G116">
        <v>2022</v>
      </c>
      <c r="H116">
        <v>5</v>
      </c>
      <c r="I116">
        <v>240</v>
      </c>
      <c r="J116">
        <v>12</v>
      </c>
      <c r="K116">
        <v>48</v>
      </c>
      <c r="L116" s="1">
        <f>DATE(sales__2[[#This Row],[year]],sales__2[[#This Row],[month]],1)</f>
        <v>44835</v>
      </c>
    </row>
    <row r="117" spans="1:12" x14ac:dyDescent="0.2">
      <c r="A117" t="s">
        <v>19</v>
      </c>
      <c r="B117" t="s">
        <v>16</v>
      </c>
      <c r="C117" t="s">
        <v>12</v>
      </c>
      <c r="D117">
        <v>15</v>
      </c>
      <c r="E117" t="s">
        <v>23</v>
      </c>
      <c r="F117">
        <v>10</v>
      </c>
      <c r="G117">
        <v>2022</v>
      </c>
      <c r="H117">
        <v>22</v>
      </c>
      <c r="I117">
        <v>352</v>
      </c>
      <c r="J117">
        <v>45</v>
      </c>
      <c r="K117">
        <v>16</v>
      </c>
      <c r="L117" s="1">
        <f>DATE(sales__2[[#This Row],[year]],sales__2[[#This Row],[month]],1)</f>
        <v>44835</v>
      </c>
    </row>
    <row r="118" spans="1:12" x14ac:dyDescent="0.2">
      <c r="A118" t="s">
        <v>19</v>
      </c>
      <c r="B118" t="s">
        <v>16</v>
      </c>
      <c r="C118" t="s">
        <v>12</v>
      </c>
      <c r="D118">
        <v>15</v>
      </c>
      <c r="E118" t="s">
        <v>25</v>
      </c>
      <c r="F118">
        <v>10</v>
      </c>
      <c r="G118">
        <v>2022</v>
      </c>
      <c r="H118">
        <v>20</v>
      </c>
      <c r="I118">
        <v>320</v>
      </c>
      <c r="J118">
        <v>40</v>
      </c>
      <c r="K118">
        <v>16</v>
      </c>
      <c r="L118" s="1">
        <f>DATE(sales__2[[#This Row],[year]],sales__2[[#This Row],[month]],1)</f>
        <v>44835</v>
      </c>
    </row>
    <row r="119" spans="1:12" x14ac:dyDescent="0.2">
      <c r="A119" t="s">
        <v>10</v>
      </c>
      <c r="B119" t="s">
        <v>11</v>
      </c>
      <c r="C119" t="s">
        <v>12</v>
      </c>
      <c r="D119">
        <v>30</v>
      </c>
      <c r="E119" t="s">
        <v>23</v>
      </c>
      <c r="F119">
        <v>10</v>
      </c>
      <c r="G119">
        <v>2022</v>
      </c>
      <c r="H119">
        <v>12</v>
      </c>
      <c r="I119">
        <v>384</v>
      </c>
      <c r="J119">
        <v>25</v>
      </c>
      <c r="K119">
        <v>32</v>
      </c>
      <c r="L119" s="1">
        <f>DATE(sales__2[[#This Row],[year]],sales__2[[#This Row],[month]],1)</f>
        <v>44835</v>
      </c>
    </row>
    <row r="120" spans="1:12" x14ac:dyDescent="0.2">
      <c r="A120" t="s">
        <v>13</v>
      </c>
      <c r="B120" t="s">
        <v>14</v>
      </c>
      <c r="C120" t="s">
        <v>20</v>
      </c>
      <c r="D120">
        <v>35</v>
      </c>
      <c r="E120" t="s">
        <v>23</v>
      </c>
      <c r="F120">
        <v>10</v>
      </c>
      <c r="G120">
        <v>2022</v>
      </c>
      <c r="H120">
        <v>7</v>
      </c>
      <c r="I120">
        <v>259</v>
      </c>
      <c r="J120">
        <v>18</v>
      </c>
      <c r="K120">
        <v>37</v>
      </c>
      <c r="L120" s="1">
        <f>DATE(sales__2[[#This Row],[year]],sales__2[[#This Row],[month]],1)</f>
        <v>44835</v>
      </c>
    </row>
    <row r="121" spans="1:12" x14ac:dyDescent="0.2">
      <c r="A121" t="s">
        <v>15</v>
      </c>
      <c r="B121" t="s">
        <v>16</v>
      </c>
      <c r="C121" t="s">
        <v>20</v>
      </c>
      <c r="D121">
        <v>20</v>
      </c>
      <c r="E121" t="s">
        <v>23</v>
      </c>
      <c r="F121">
        <v>10</v>
      </c>
      <c r="G121">
        <v>2022</v>
      </c>
      <c r="H121">
        <v>15</v>
      </c>
      <c r="I121">
        <v>336</v>
      </c>
      <c r="J121">
        <v>35</v>
      </c>
      <c r="K121">
        <v>21</v>
      </c>
      <c r="L121" s="1">
        <f>DATE(sales__2[[#This Row],[year]],sales__2[[#This Row],[month]],1)</f>
        <v>44835</v>
      </c>
    </row>
    <row r="122" spans="1:12" x14ac:dyDescent="0.2">
      <c r="A122" t="s">
        <v>17</v>
      </c>
      <c r="B122" t="s">
        <v>18</v>
      </c>
      <c r="C122" t="s">
        <v>20</v>
      </c>
      <c r="D122">
        <v>48</v>
      </c>
      <c r="E122" t="s">
        <v>23</v>
      </c>
      <c r="F122">
        <v>10</v>
      </c>
      <c r="G122">
        <v>2022</v>
      </c>
      <c r="H122">
        <v>4</v>
      </c>
      <c r="I122">
        <v>216</v>
      </c>
      <c r="J122">
        <v>10</v>
      </c>
      <c r="K122">
        <v>54</v>
      </c>
      <c r="L122" s="1">
        <f>DATE(sales__2[[#This Row],[year]],sales__2[[#This Row],[month]],1)</f>
        <v>44835</v>
      </c>
    </row>
    <row r="123" spans="1:12" x14ac:dyDescent="0.2">
      <c r="A123" t="s">
        <v>19</v>
      </c>
      <c r="B123" t="s">
        <v>16</v>
      </c>
      <c r="C123" t="s">
        <v>20</v>
      </c>
      <c r="D123">
        <v>17</v>
      </c>
      <c r="E123" t="s">
        <v>23</v>
      </c>
      <c r="F123">
        <v>10</v>
      </c>
      <c r="G123">
        <v>2022</v>
      </c>
      <c r="H123">
        <v>19</v>
      </c>
      <c r="I123">
        <v>342</v>
      </c>
      <c r="J123">
        <v>40</v>
      </c>
      <c r="K123">
        <v>18</v>
      </c>
      <c r="L123" s="1">
        <f>DATE(sales__2[[#This Row],[year]],sales__2[[#This Row],[month]],1)</f>
        <v>44835</v>
      </c>
    </row>
    <row r="124" spans="1:12" x14ac:dyDescent="0.2">
      <c r="A124" t="s">
        <v>21</v>
      </c>
      <c r="B124" t="s">
        <v>11</v>
      </c>
      <c r="C124" t="s">
        <v>20</v>
      </c>
      <c r="D124">
        <v>33</v>
      </c>
      <c r="E124" t="s">
        <v>23</v>
      </c>
      <c r="F124">
        <v>10</v>
      </c>
      <c r="G124">
        <v>2022</v>
      </c>
      <c r="H124">
        <v>10</v>
      </c>
      <c r="I124">
        <v>360</v>
      </c>
      <c r="J124">
        <v>22</v>
      </c>
      <c r="K124">
        <v>36</v>
      </c>
      <c r="L124" s="1">
        <f>DATE(sales__2[[#This Row],[year]],sales__2[[#This Row],[month]],1)</f>
        <v>44835</v>
      </c>
    </row>
    <row r="125" spans="1:12" x14ac:dyDescent="0.2">
      <c r="A125" t="s">
        <v>10</v>
      </c>
      <c r="B125" t="s">
        <v>11</v>
      </c>
      <c r="C125" t="s">
        <v>12</v>
      </c>
      <c r="D125">
        <v>28</v>
      </c>
      <c r="E125" t="s">
        <v>23</v>
      </c>
      <c r="F125">
        <v>11</v>
      </c>
      <c r="G125">
        <v>2022</v>
      </c>
      <c r="H125">
        <v>12</v>
      </c>
      <c r="I125">
        <v>372</v>
      </c>
      <c r="J125">
        <v>25</v>
      </c>
      <c r="K125">
        <v>31</v>
      </c>
      <c r="L125" s="1">
        <f>DATE(sales__2[[#This Row],[year]],sales__2[[#This Row],[month]],1)</f>
        <v>44866</v>
      </c>
    </row>
    <row r="126" spans="1:12" x14ac:dyDescent="0.2">
      <c r="A126" t="s">
        <v>10</v>
      </c>
      <c r="B126" t="s">
        <v>11</v>
      </c>
      <c r="C126" t="s">
        <v>12</v>
      </c>
      <c r="D126">
        <v>28</v>
      </c>
      <c r="E126" t="s">
        <v>27</v>
      </c>
      <c r="F126">
        <v>11</v>
      </c>
      <c r="G126">
        <v>2022</v>
      </c>
      <c r="H126">
        <v>9</v>
      </c>
      <c r="I126">
        <v>279</v>
      </c>
      <c r="J126">
        <v>20</v>
      </c>
      <c r="K126">
        <v>31</v>
      </c>
      <c r="L126" s="1">
        <f>DATE(sales__2[[#This Row],[year]],sales__2[[#This Row],[month]],1)</f>
        <v>44866</v>
      </c>
    </row>
    <row r="127" spans="1:12" x14ac:dyDescent="0.2">
      <c r="A127" t="s">
        <v>13</v>
      </c>
      <c r="B127" t="s">
        <v>14</v>
      </c>
      <c r="C127" t="s">
        <v>12</v>
      </c>
      <c r="D127">
        <v>32</v>
      </c>
      <c r="E127" t="s">
        <v>23</v>
      </c>
      <c r="F127">
        <v>11</v>
      </c>
      <c r="G127">
        <v>2022</v>
      </c>
      <c r="H127">
        <v>9</v>
      </c>
      <c r="I127">
        <v>306</v>
      </c>
      <c r="J127">
        <v>20</v>
      </c>
      <c r="K127">
        <v>34</v>
      </c>
      <c r="L127" s="1">
        <f>DATE(sales__2[[#This Row],[year]],sales__2[[#This Row],[month]],1)</f>
        <v>44866</v>
      </c>
    </row>
    <row r="128" spans="1:12" x14ac:dyDescent="0.2">
      <c r="A128" t="s">
        <v>15</v>
      </c>
      <c r="B128" t="s">
        <v>16</v>
      </c>
      <c r="C128" t="s">
        <v>12</v>
      </c>
      <c r="D128">
        <v>18</v>
      </c>
      <c r="E128" t="s">
        <v>23</v>
      </c>
      <c r="F128">
        <v>11</v>
      </c>
      <c r="G128">
        <v>2022</v>
      </c>
      <c r="H128">
        <v>15</v>
      </c>
      <c r="I128">
        <v>304</v>
      </c>
      <c r="J128">
        <v>35</v>
      </c>
      <c r="K128">
        <v>19</v>
      </c>
      <c r="L128" s="1">
        <f>DATE(sales__2[[#This Row],[year]],sales__2[[#This Row],[month]],1)</f>
        <v>44866</v>
      </c>
    </row>
    <row r="129" spans="1:12" x14ac:dyDescent="0.2">
      <c r="A129" t="s">
        <v>15</v>
      </c>
      <c r="B129" t="s">
        <v>16</v>
      </c>
      <c r="C129" t="s">
        <v>12</v>
      </c>
      <c r="D129">
        <v>18</v>
      </c>
      <c r="E129" t="s">
        <v>25</v>
      </c>
      <c r="F129">
        <v>11</v>
      </c>
      <c r="G129">
        <v>2022</v>
      </c>
      <c r="H129">
        <v>20</v>
      </c>
      <c r="I129">
        <v>380</v>
      </c>
      <c r="J129">
        <v>40</v>
      </c>
      <c r="K129">
        <v>19</v>
      </c>
      <c r="L129" s="1">
        <f>DATE(sales__2[[#This Row],[year]],sales__2[[#This Row],[month]],1)</f>
        <v>44866</v>
      </c>
    </row>
    <row r="130" spans="1:12" x14ac:dyDescent="0.2">
      <c r="A130" t="s">
        <v>19</v>
      </c>
      <c r="B130" t="s">
        <v>16</v>
      </c>
      <c r="C130" t="s">
        <v>12</v>
      </c>
      <c r="D130">
        <v>15</v>
      </c>
      <c r="E130" t="s">
        <v>23</v>
      </c>
      <c r="F130">
        <v>11</v>
      </c>
      <c r="G130">
        <v>2022</v>
      </c>
      <c r="H130">
        <v>22</v>
      </c>
      <c r="I130">
        <v>352</v>
      </c>
      <c r="J130">
        <v>45</v>
      </c>
      <c r="K130">
        <v>16</v>
      </c>
      <c r="L130" s="1">
        <f>DATE(sales__2[[#This Row],[year]],sales__2[[#This Row],[month]],1)</f>
        <v>44866</v>
      </c>
    </row>
    <row r="131" spans="1:12" x14ac:dyDescent="0.2">
      <c r="A131" t="s">
        <v>19</v>
      </c>
      <c r="B131" t="s">
        <v>16</v>
      </c>
      <c r="C131" t="s">
        <v>12</v>
      </c>
      <c r="D131">
        <v>15</v>
      </c>
      <c r="E131" t="s">
        <v>27</v>
      </c>
      <c r="F131">
        <v>11</v>
      </c>
      <c r="G131">
        <v>2022</v>
      </c>
      <c r="H131">
        <v>19</v>
      </c>
      <c r="I131">
        <v>288</v>
      </c>
      <c r="J131">
        <v>35</v>
      </c>
      <c r="K131">
        <v>16</v>
      </c>
      <c r="L131" s="1">
        <f>DATE(sales__2[[#This Row],[year]],sales__2[[#This Row],[month]],1)</f>
        <v>44866</v>
      </c>
    </row>
    <row r="132" spans="1:12" x14ac:dyDescent="0.2">
      <c r="A132" t="s">
        <v>10</v>
      </c>
      <c r="B132" t="s">
        <v>11</v>
      </c>
      <c r="C132" t="s">
        <v>12</v>
      </c>
      <c r="D132">
        <v>30</v>
      </c>
      <c r="E132" t="s">
        <v>23</v>
      </c>
      <c r="F132">
        <v>11</v>
      </c>
      <c r="G132">
        <v>2022</v>
      </c>
      <c r="H132">
        <v>12</v>
      </c>
      <c r="I132">
        <v>384</v>
      </c>
      <c r="J132">
        <v>25</v>
      </c>
      <c r="K132">
        <v>32</v>
      </c>
      <c r="L132" s="1">
        <f>DATE(sales__2[[#This Row],[year]],sales__2[[#This Row],[month]],1)</f>
        <v>44866</v>
      </c>
    </row>
    <row r="133" spans="1:12" x14ac:dyDescent="0.2">
      <c r="A133" t="s">
        <v>15</v>
      </c>
      <c r="B133" t="s">
        <v>16</v>
      </c>
      <c r="C133" t="s">
        <v>20</v>
      </c>
      <c r="D133">
        <v>20</v>
      </c>
      <c r="E133" t="s">
        <v>23</v>
      </c>
      <c r="F133">
        <v>11</v>
      </c>
      <c r="G133">
        <v>2022</v>
      </c>
      <c r="H133">
        <v>15</v>
      </c>
      <c r="I133">
        <v>315</v>
      </c>
      <c r="J133">
        <v>30</v>
      </c>
      <c r="K133">
        <v>21</v>
      </c>
      <c r="L133" s="1">
        <f>DATE(sales__2[[#This Row],[year]],sales__2[[#This Row],[month]],1)</f>
        <v>44866</v>
      </c>
    </row>
    <row r="134" spans="1:12" x14ac:dyDescent="0.2">
      <c r="A134" t="s">
        <v>19</v>
      </c>
      <c r="B134" t="s">
        <v>16</v>
      </c>
      <c r="C134" t="s">
        <v>20</v>
      </c>
      <c r="D134">
        <v>17</v>
      </c>
      <c r="E134" t="s">
        <v>23</v>
      </c>
      <c r="F134">
        <v>11</v>
      </c>
      <c r="G134">
        <v>2022</v>
      </c>
      <c r="H134">
        <v>17</v>
      </c>
      <c r="I134">
        <v>306</v>
      </c>
      <c r="J134">
        <v>35</v>
      </c>
      <c r="K134">
        <v>18</v>
      </c>
      <c r="L134" s="1">
        <f>DATE(sales__2[[#This Row],[year]],sales__2[[#This Row],[month]],1)</f>
        <v>44866</v>
      </c>
    </row>
    <row r="135" spans="1:12" x14ac:dyDescent="0.2">
      <c r="A135" t="s">
        <v>21</v>
      </c>
      <c r="B135" t="s">
        <v>11</v>
      </c>
      <c r="C135" t="s">
        <v>20</v>
      </c>
      <c r="D135">
        <v>33</v>
      </c>
      <c r="E135" t="s">
        <v>23</v>
      </c>
      <c r="F135">
        <v>11</v>
      </c>
      <c r="G135">
        <v>2022</v>
      </c>
      <c r="H135">
        <v>9</v>
      </c>
      <c r="I135">
        <v>324</v>
      </c>
      <c r="J135">
        <v>20</v>
      </c>
      <c r="K135">
        <v>36</v>
      </c>
      <c r="L135" s="1">
        <f>DATE(sales__2[[#This Row],[year]],sales__2[[#This Row],[month]],1)</f>
        <v>44866</v>
      </c>
    </row>
    <row r="136" spans="1:12" x14ac:dyDescent="0.2">
      <c r="A136" t="s">
        <v>10</v>
      </c>
      <c r="B136" t="s">
        <v>11</v>
      </c>
      <c r="C136" t="s">
        <v>12</v>
      </c>
      <c r="D136">
        <v>28</v>
      </c>
      <c r="E136" t="s">
        <v>23</v>
      </c>
      <c r="F136">
        <v>12</v>
      </c>
      <c r="G136">
        <v>2022</v>
      </c>
      <c r="H136">
        <v>14</v>
      </c>
      <c r="I136">
        <v>434</v>
      </c>
      <c r="J136">
        <v>30</v>
      </c>
      <c r="K136">
        <v>31</v>
      </c>
      <c r="L136" s="1">
        <f>DATE(sales__2[[#This Row],[year]],sales__2[[#This Row],[month]],1)</f>
        <v>44896</v>
      </c>
    </row>
    <row r="137" spans="1:12" x14ac:dyDescent="0.2">
      <c r="A137" t="s">
        <v>10</v>
      </c>
      <c r="B137" t="s">
        <v>11</v>
      </c>
      <c r="C137" t="s">
        <v>12</v>
      </c>
      <c r="D137">
        <v>28</v>
      </c>
      <c r="E137" t="s">
        <v>25</v>
      </c>
      <c r="F137">
        <v>12</v>
      </c>
      <c r="G137">
        <v>2022</v>
      </c>
      <c r="H137">
        <v>11</v>
      </c>
      <c r="I137">
        <v>341</v>
      </c>
      <c r="J137">
        <v>25</v>
      </c>
      <c r="K137">
        <v>31</v>
      </c>
      <c r="L137" s="1">
        <f>DATE(sales__2[[#This Row],[year]],sales__2[[#This Row],[month]],1)</f>
        <v>44896</v>
      </c>
    </row>
    <row r="138" spans="1:12" x14ac:dyDescent="0.2">
      <c r="A138" t="s">
        <v>13</v>
      </c>
      <c r="B138" t="s">
        <v>14</v>
      </c>
      <c r="C138" t="s">
        <v>12</v>
      </c>
      <c r="D138">
        <v>32</v>
      </c>
      <c r="E138" t="s">
        <v>23</v>
      </c>
      <c r="F138">
        <v>12</v>
      </c>
      <c r="G138">
        <v>2022</v>
      </c>
      <c r="H138">
        <v>11</v>
      </c>
      <c r="I138">
        <v>374</v>
      </c>
      <c r="J138">
        <v>25</v>
      </c>
      <c r="K138">
        <v>34</v>
      </c>
      <c r="L138" s="1">
        <f>DATE(sales__2[[#This Row],[year]],sales__2[[#This Row],[month]],1)</f>
        <v>44896</v>
      </c>
    </row>
    <row r="139" spans="1:12" x14ac:dyDescent="0.2">
      <c r="A139" t="s">
        <v>15</v>
      </c>
      <c r="B139" t="s">
        <v>16</v>
      </c>
      <c r="C139" t="s">
        <v>12</v>
      </c>
      <c r="D139">
        <v>18</v>
      </c>
      <c r="E139" t="s">
        <v>23</v>
      </c>
      <c r="F139">
        <v>12</v>
      </c>
      <c r="G139">
        <v>2022</v>
      </c>
      <c r="H139">
        <v>18</v>
      </c>
      <c r="I139">
        <v>342</v>
      </c>
      <c r="J139">
        <v>35</v>
      </c>
      <c r="K139">
        <v>19</v>
      </c>
      <c r="L139" s="1">
        <f>DATE(sales__2[[#This Row],[year]],sales__2[[#This Row],[month]],1)</f>
        <v>44896</v>
      </c>
    </row>
    <row r="140" spans="1:12" x14ac:dyDescent="0.2">
      <c r="A140" t="s">
        <v>17</v>
      </c>
      <c r="B140" t="s">
        <v>18</v>
      </c>
      <c r="C140" t="s">
        <v>12</v>
      </c>
      <c r="D140">
        <v>45</v>
      </c>
      <c r="E140" t="s">
        <v>23</v>
      </c>
      <c r="F140">
        <v>12</v>
      </c>
      <c r="G140">
        <v>2022</v>
      </c>
      <c r="H140">
        <v>6</v>
      </c>
      <c r="I140">
        <v>288</v>
      </c>
      <c r="J140">
        <v>15</v>
      </c>
      <c r="K140">
        <v>48</v>
      </c>
      <c r="L140" s="1">
        <f>DATE(sales__2[[#This Row],[year]],sales__2[[#This Row],[month]],1)</f>
        <v>44896</v>
      </c>
    </row>
    <row r="141" spans="1:12" x14ac:dyDescent="0.2">
      <c r="A141" t="s">
        <v>19</v>
      </c>
      <c r="B141" t="s">
        <v>16</v>
      </c>
      <c r="C141" t="s">
        <v>12</v>
      </c>
      <c r="D141">
        <v>15</v>
      </c>
      <c r="E141" t="s">
        <v>23</v>
      </c>
      <c r="F141">
        <v>12</v>
      </c>
      <c r="G141">
        <v>2022</v>
      </c>
      <c r="H141">
        <v>24</v>
      </c>
      <c r="I141">
        <v>384</v>
      </c>
      <c r="J141">
        <v>50</v>
      </c>
      <c r="K141">
        <v>16</v>
      </c>
      <c r="L141" s="1">
        <f>DATE(sales__2[[#This Row],[year]],sales__2[[#This Row],[month]],1)</f>
        <v>44896</v>
      </c>
    </row>
    <row r="142" spans="1:12" x14ac:dyDescent="0.2">
      <c r="A142" t="s">
        <v>19</v>
      </c>
      <c r="B142" t="s">
        <v>16</v>
      </c>
      <c r="C142" t="s">
        <v>12</v>
      </c>
      <c r="D142">
        <v>15</v>
      </c>
      <c r="E142" t="s">
        <v>25</v>
      </c>
      <c r="F142">
        <v>12</v>
      </c>
      <c r="G142">
        <v>2022</v>
      </c>
      <c r="H142">
        <v>22</v>
      </c>
      <c r="I142">
        <v>352</v>
      </c>
      <c r="J142">
        <v>45</v>
      </c>
      <c r="K142">
        <v>16</v>
      </c>
      <c r="L142" s="1">
        <f>DATE(sales__2[[#This Row],[year]],sales__2[[#This Row],[month]],1)</f>
        <v>44896</v>
      </c>
    </row>
    <row r="143" spans="1:12" x14ac:dyDescent="0.2">
      <c r="A143" t="s">
        <v>10</v>
      </c>
      <c r="B143" t="s">
        <v>11</v>
      </c>
      <c r="C143" t="s">
        <v>12</v>
      </c>
      <c r="D143">
        <v>30</v>
      </c>
      <c r="E143" t="s">
        <v>23</v>
      </c>
      <c r="F143">
        <v>12</v>
      </c>
      <c r="G143">
        <v>2022</v>
      </c>
      <c r="H143">
        <v>15</v>
      </c>
      <c r="I143">
        <v>480</v>
      </c>
      <c r="J143">
        <v>30</v>
      </c>
      <c r="K143">
        <v>32</v>
      </c>
      <c r="L143" s="1">
        <f>DATE(sales__2[[#This Row],[year]],sales__2[[#This Row],[month]],1)</f>
        <v>44896</v>
      </c>
    </row>
    <row r="144" spans="1:12" x14ac:dyDescent="0.2">
      <c r="A144" t="s">
        <v>13</v>
      </c>
      <c r="B144" t="s">
        <v>14</v>
      </c>
      <c r="C144" t="s">
        <v>20</v>
      </c>
      <c r="D144">
        <v>35</v>
      </c>
      <c r="E144" t="s">
        <v>23</v>
      </c>
      <c r="F144">
        <v>12</v>
      </c>
      <c r="G144">
        <v>2022</v>
      </c>
      <c r="H144">
        <v>10</v>
      </c>
      <c r="I144">
        <v>333</v>
      </c>
      <c r="J144">
        <v>20</v>
      </c>
      <c r="K144">
        <v>37</v>
      </c>
      <c r="L144" s="1">
        <f>DATE(sales__2[[#This Row],[year]],sales__2[[#This Row],[month]],1)</f>
        <v>44896</v>
      </c>
    </row>
    <row r="145" spans="1:12" x14ac:dyDescent="0.2">
      <c r="A145" t="s">
        <v>15</v>
      </c>
      <c r="B145" t="s">
        <v>16</v>
      </c>
      <c r="C145" t="s">
        <v>20</v>
      </c>
      <c r="D145">
        <v>20</v>
      </c>
      <c r="E145" t="s">
        <v>23</v>
      </c>
      <c r="F145">
        <v>12</v>
      </c>
      <c r="G145">
        <v>2022</v>
      </c>
      <c r="H145">
        <v>18</v>
      </c>
      <c r="I145">
        <v>378</v>
      </c>
      <c r="J145">
        <v>35</v>
      </c>
      <c r="K145">
        <v>21</v>
      </c>
      <c r="L145" s="1">
        <f>DATE(sales__2[[#This Row],[year]],sales__2[[#This Row],[month]],1)</f>
        <v>44896</v>
      </c>
    </row>
    <row r="146" spans="1:12" x14ac:dyDescent="0.2">
      <c r="A146" t="s">
        <v>17</v>
      </c>
      <c r="B146" t="s">
        <v>18</v>
      </c>
      <c r="C146" t="s">
        <v>20</v>
      </c>
      <c r="D146">
        <v>48</v>
      </c>
      <c r="E146" t="s">
        <v>23</v>
      </c>
      <c r="F146">
        <v>12</v>
      </c>
      <c r="G146">
        <v>2022</v>
      </c>
      <c r="H146">
        <v>5</v>
      </c>
      <c r="I146">
        <v>270</v>
      </c>
      <c r="J146">
        <v>12</v>
      </c>
      <c r="K146">
        <v>54</v>
      </c>
      <c r="L146" s="1">
        <f>DATE(sales__2[[#This Row],[year]],sales__2[[#This Row],[month]],1)</f>
        <v>44896</v>
      </c>
    </row>
    <row r="147" spans="1:12" x14ac:dyDescent="0.2">
      <c r="A147" t="s">
        <v>19</v>
      </c>
      <c r="B147" t="s">
        <v>16</v>
      </c>
      <c r="C147" t="s">
        <v>20</v>
      </c>
      <c r="D147">
        <v>17</v>
      </c>
      <c r="E147" t="s">
        <v>23</v>
      </c>
      <c r="F147">
        <v>12</v>
      </c>
      <c r="G147">
        <v>2022</v>
      </c>
      <c r="H147">
        <v>21</v>
      </c>
      <c r="I147">
        <v>378</v>
      </c>
      <c r="J147">
        <v>40</v>
      </c>
      <c r="K147">
        <v>18</v>
      </c>
      <c r="L147" s="1">
        <f>DATE(sales__2[[#This Row],[year]],sales__2[[#This Row],[month]],1)</f>
        <v>44896</v>
      </c>
    </row>
    <row r="148" spans="1:12" x14ac:dyDescent="0.2">
      <c r="A148" t="s">
        <v>21</v>
      </c>
      <c r="B148" t="s">
        <v>11</v>
      </c>
      <c r="C148" t="s">
        <v>20</v>
      </c>
      <c r="D148">
        <v>33</v>
      </c>
      <c r="E148" t="s">
        <v>23</v>
      </c>
      <c r="F148">
        <v>12</v>
      </c>
      <c r="G148">
        <v>2022</v>
      </c>
      <c r="H148">
        <v>12</v>
      </c>
      <c r="I148">
        <v>432</v>
      </c>
      <c r="J148">
        <v>25</v>
      </c>
      <c r="K148">
        <v>36</v>
      </c>
      <c r="L148" s="1">
        <f>DATE(sales__2[[#This Row],[year]],sales__2[[#This Row],[month]],1)</f>
        <v>44896</v>
      </c>
    </row>
    <row r="149" spans="1:12" x14ac:dyDescent="0.2">
      <c r="A149" t="s">
        <v>10</v>
      </c>
      <c r="B149" t="s">
        <v>11</v>
      </c>
      <c r="C149" t="s">
        <v>12</v>
      </c>
      <c r="D149">
        <v>28</v>
      </c>
      <c r="E149" t="s">
        <v>23</v>
      </c>
      <c r="F149">
        <v>1</v>
      </c>
      <c r="G149">
        <v>2023</v>
      </c>
      <c r="H149">
        <v>12</v>
      </c>
      <c r="I149">
        <v>384</v>
      </c>
      <c r="J149">
        <v>25</v>
      </c>
      <c r="K149">
        <v>32</v>
      </c>
      <c r="L149" s="1">
        <f>DATE(sales__2[[#This Row],[year]],sales__2[[#This Row],[month]],1)</f>
        <v>44927</v>
      </c>
    </row>
    <row r="150" spans="1:12" x14ac:dyDescent="0.2">
      <c r="A150" t="s">
        <v>10</v>
      </c>
      <c r="B150" t="s">
        <v>11</v>
      </c>
      <c r="C150" t="s">
        <v>12</v>
      </c>
      <c r="D150">
        <v>28</v>
      </c>
      <c r="E150" t="s">
        <v>24</v>
      </c>
      <c r="F150">
        <v>1</v>
      </c>
      <c r="G150">
        <v>2023</v>
      </c>
      <c r="H150">
        <v>8</v>
      </c>
      <c r="I150">
        <v>256</v>
      </c>
      <c r="J150">
        <v>18</v>
      </c>
      <c r="K150">
        <v>32</v>
      </c>
      <c r="L150" s="1">
        <f>DATE(sales__2[[#This Row],[year]],sales__2[[#This Row],[month]],1)</f>
        <v>44927</v>
      </c>
    </row>
    <row r="151" spans="1:12" x14ac:dyDescent="0.2">
      <c r="A151" t="s">
        <v>10</v>
      </c>
      <c r="B151" t="s">
        <v>11</v>
      </c>
      <c r="C151" t="s">
        <v>12</v>
      </c>
      <c r="D151">
        <v>28</v>
      </c>
      <c r="E151" t="s">
        <v>25</v>
      </c>
      <c r="F151">
        <v>1</v>
      </c>
      <c r="G151">
        <v>2023</v>
      </c>
      <c r="H151">
        <v>10</v>
      </c>
      <c r="I151">
        <v>320</v>
      </c>
      <c r="J151">
        <v>22</v>
      </c>
      <c r="K151">
        <v>32</v>
      </c>
      <c r="L151" s="1">
        <f>DATE(sales__2[[#This Row],[year]],sales__2[[#This Row],[month]],1)</f>
        <v>44927</v>
      </c>
    </row>
    <row r="152" spans="1:12" x14ac:dyDescent="0.2">
      <c r="A152" t="s">
        <v>10</v>
      </c>
      <c r="B152" t="s">
        <v>11</v>
      </c>
      <c r="C152" t="s">
        <v>12</v>
      </c>
      <c r="D152">
        <v>28</v>
      </c>
      <c r="E152" t="s">
        <v>26</v>
      </c>
      <c r="F152">
        <v>1</v>
      </c>
      <c r="G152">
        <v>2023</v>
      </c>
      <c r="H152">
        <v>6</v>
      </c>
      <c r="I152">
        <v>192</v>
      </c>
      <c r="J152">
        <v>15</v>
      </c>
      <c r="K152">
        <v>32</v>
      </c>
      <c r="L152" s="1">
        <f>DATE(sales__2[[#This Row],[year]],sales__2[[#This Row],[month]],1)</f>
        <v>44927</v>
      </c>
    </row>
    <row r="153" spans="1:12" x14ac:dyDescent="0.2">
      <c r="A153" t="s">
        <v>10</v>
      </c>
      <c r="B153" t="s">
        <v>11</v>
      </c>
      <c r="C153" t="s">
        <v>12</v>
      </c>
      <c r="D153">
        <v>28</v>
      </c>
      <c r="E153" t="s">
        <v>27</v>
      </c>
      <c r="F153">
        <v>1</v>
      </c>
      <c r="G153">
        <v>2023</v>
      </c>
      <c r="H153">
        <v>9</v>
      </c>
      <c r="I153">
        <v>288</v>
      </c>
      <c r="J153">
        <v>20</v>
      </c>
      <c r="K153">
        <v>32</v>
      </c>
      <c r="L153" s="1">
        <f>DATE(sales__2[[#This Row],[year]],sales__2[[#This Row],[month]],1)</f>
        <v>44927</v>
      </c>
    </row>
    <row r="154" spans="1:12" x14ac:dyDescent="0.2">
      <c r="A154" t="s">
        <v>13</v>
      </c>
      <c r="B154" t="s">
        <v>14</v>
      </c>
      <c r="C154" t="s">
        <v>12</v>
      </c>
      <c r="D154">
        <v>32</v>
      </c>
      <c r="E154" t="s">
        <v>23</v>
      </c>
      <c r="F154">
        <v>1</v>
      </c>
      <c r="G154">
        <v>2023</v>
      </c>
      <c r="H154">
        <v>9</v>
      </c>
      <c r="I154">
        <v>324</v>
      </c>
      <c r="J154">
        <v>20</v>
      </c>
      <c r="K154">
        <v>36</v>
      </c>
      <c r="L154" s="1">
        <f>DATE(sales__2[[#This Row],[year]],sales__2[[#This Row],[month]],1)</f>
        <v>44927</v>
      </c>
    </row>
    <row r="155" spans="1:12" x14ac:dyDescent="0.2">
      <c r="A155" t="s">
        <v>13</v>
      </c>
      <c r="B155" t="s">
        <v>14</v>
      </c>
      <c r="C155" t="s">
        <v>12</v>
      </c>
      <c r="D155">
        <v>32</v>
      </c>
      <c r="E155" t="s">
        <v>24</v>
      </c>
      <c r="F155">
        <v>1</v>
      </c>
      <c r="G155">
        <v>2023</v>
      </c>
      <c r="H155">
        <v>6</v>
      </c>
      <c r="I155">
        <v>216</v>
      </c>
      <c r="J155">
        <v>15</v>
      </c>
      <c r="K155">
        <v>36</v>
      </c>
      <c r="L155" s="1">
        <f>DATE(sales__2[[#This Row],[year]],sales__2[[#This Row],[month]],1)</f>
        <v>44927</v>
      </c>
    </row>
    <row r="156" spans="1:12" x14ac:dyDescent="0.2">
      <c r="A156" t="s">
        <v>15</v>
      </c>
      <c r="B156" t="s">
        <v>16</v>
      </c>
      <c r="C156" t="s">
        <v>12</v>
      </c>
      <c r="D156">
        <v>18</v>
      </c>
      <c r="E156" t="s">
        <v>23</v>
      </c>
      <c r="F156">
        <v>1</v>
      </c>
      <c r="G156">
        <v>2023</v>
      </c>
      <c r="H156">
        <v>15</v>
      </c>
      <c r="I156">
        <v>300</v>
      </c>
      <c r="J156">
        <v>30</v>
      </c>
      <c r="K156">
        <v>20</v>
      </c>
      <c r="L156" s="1">
        <f>DATE(sales__2[[#This Row],[year]],sales__2[[#This Row],[month]],1)</f>
        <v>44927</v>
      </c>
    </row>
    <row r="157" spans="1:12" x14ac:dyDescent="0.2">
      <c r="A157" t="s">
        <v>15</v>
      </c>
      <c r="B157" t="s">
        <v>16</v>
      </c>
      <c r="C157" t="s">
        <v>12</v>
      </c>
      <c r="D157">
        <v>18</v>
      </c>
      <c r="E157" t="s">
        <v>25</v>
      </c>
      <c r="F157">
        <v>1</v>
      </c>
      <c r="G157">
        <v>2023</v>
      </c>
      <c r="H157">
        <v>18</v>
      </c>
      <c r="I157">
        <v>360</v>
      </c>
      <c r="J157">
        <v>35</v>
      </c>
      <c r="K157">
        <v>20</v>
      </c>
      <c r="L157" s="1">
        <f>DATE(sales__2[[#This Row],[year]],sales__2[[#This Row],[month]],1)</f>
        <v>44927</v>
      </c>
    </row>
    <row r="158" spans="1:12" x14ac:dyDescent="0.2">
      <c r="A158" t="s">
        <v>17</v>
      </c>
      <c r="B158" t="s">
        <v>18</v>
      </c>
      <c r="C158" t="s">
        <v>12</v>
      </c>
      <c r="D158">
        <v>45</v>
      </c>
      <c r="E158" t="s">
        <v>23</v>
      </c>
      <c r="F158">
        <v>1</v>
      </c>
      <c r="G158">
        <v>2023</v>
      </c>
      <c r="H158">
        <v>4</v>
      </c>
      <c r="I158">
        <v>208</v>
      </c>
      <c r="J158">
        <v>10</v>
      </c>
      <c r="K158">
        <v>52</v>
      </c>
      <c r="L158" s="1">
        <f>DATE(sales__2[[#This Row],[year]],sales__2[[#This Row],[month]],1)</f>
        <v>44927</v>
      </c>
    </row>
    <row r="159" spans="1:12" x14ac:dyDescent="0.2">
      <c r="A159" t="s">
        <v>19</v>
      </c>
      <c r="B159" t="s">
        <v>16</v>
      </c>
      <c r="C159" t="s">
        <v>12</v>
      </c>
      <c r="D159">
        <v>15</v>
      </c>
      <c r="E159" t="s">
        <v>23</v>
      </c>
      <c r="F159">
        <v>1</v>
      </c>
      <c r="G159">
        <v>2023</v>
      </c>
      <c r="H159">
        <v>20</v>
      </c>
      <c r="I159">
        <v>340</v>
      </c>
      <c r="J159">
        <v>40</v>
      </c>
      <c r="K159">
        <v>17</v>
      </c>
      <c r="L159" s="1">
        <f>DATE(sales__2[[#This Row],[year]],sales__2[[#This Row],[month]],1)</f>
        <v>44927</v>
      </c>
    </row>
    <row r="160" spans="1:12" x14ac:dyDescent="0.2">
      <c r="A160" t="s">
        <v>19</v>
      </c>
      <c r="B160" t="s">
        <v>16</v>
      </c>
      <c r="C160" t="s">
        <v>12</v>
      </c>
      <c r="D160">
        <v>15</v>
      </c>
      <c r="E160" t="s">
        <v>25</v>
      </c>
      <c r="F160">
        <v>1</v>
      </c>
      <c r="G160">
        <v>2023</v>
      </c>
      <c r="H160">
        <v>23</v>
      </c>
      <c r="I160">
        <v>374</v>
      </c>
      <c r="J160">
        <v>45</v>
      </c>
      <c r="K160">
        <v>17</v>
      </c>
      <c r="L160" s="1">
        <f>DATE(sales__2[[#This Row],[year]],sales__2[[#This Row],[month]],1)</f>
        <v>44927</v>
      </c>
    </row>
    <row r="161" spans="1:12" x14ac:dyDescent="0.2">
      <c r="A161" t="s">
        <v>10</v>
      </c>
      <c r="B161" t="s">
        <v>11</v>
      </c>
      <c r="C161" t="s">
        <v>12</v>
      </c>
      <c r="D161">
        <v>30</v>
      </c>
      <c r="E161" t="s">
        <v>23</v>
      </c>
      <c r="F161">
        <v>1</v>
      </c>
      <c r="G161">
        <v>2023</v>
      </c>
      <c r="H161">
        <v>11</v>
      </c>
      <c r="I161">
        <v>363</v>
      </c>
      <c r="J161">
        <v>25</v>
      </c>
      <c r="K161">
        <v>33</v>
      </c>
      <c r="L161" s="1">
        <f>DATE(sales__2[[#This Row],[year]],sales__2[[#This Row],[month]],1)</f>
        <v>44927</v>
      </c>
    </row>
    <row r="162" spans="1:12" x14ac:dyDescent="0.2">
      <c r="A162" t="s">
        <v>13</v>
      </c>
      <c r="B162" t="s">
        <v>14</v>
      </c>
      <c r="C162" t="s">
        <v>20</v>
      </c>
      <c r="D162">
        <v>35</v>
      </c>
      <c r="E162" t="s">
        <v>23</v>
      </c>
      <c r="F162">
        <v>1</v>
      </c>
      <c r="G162">
        <v>2023</v>
      </c>
      <c r="H162">
        <v>7</v>
      </c>
      <c r="I162">
        <v>273</v>
      </c>
      <c r="J162">
        <v>18</v>
      </c>
      <c r="K162">
        <v>39</v>
      </c>
      <c r="L162" s="1">
        <f>DATE(sales__2[[#This Row],[year]],sales__2[[#This Row],[month]],1)</f>
        <v>44927</v>
      </c>
    </row>
    <row r="163" spans="1:12" x14ac:dyDescent="0.2">
      <c r="A163" t="s">
        <v>15</v>
      </c>
      <c r="B163" t="s">
        <v>16</v>
      </c>
      <c r="C163" t="s">
        <v>20</v>
      </c>
      <c r="D163">
        <v>20</v>
      </c>
      <c r="E163" t="s">
        <v>23</v>
      </c>
      <c r="F163">
        <v>1</v>
      </c>
      <c r="G163">
        <v>2023</v>
      </c>
      <c r="H163">
        <v>14</v>
      </c>
      <c r="I163">
        <v>308</v>
      </c>
      <c r="J163">
        <v>30</v>
      </c>
      <c r="K163">
        <v>22</v>
      </c>
      <c r="L163" s="1">
        <f>DATE(sales__2[[#This Row],[year]],sales__2[[#This Row],[month]],1)</f>
        <v>44927</v>
      </c>
    </row>
    <row r="164" spans="1:12" x14ac:dyDescent="0.2">
      <c r="A164" t="s">
        <v>17</v>
      </c>
      <c r="B164" t="s">
        <v>18</v>
      </c>
      <c r="C164" t="s">
        <v>20</v>
      </c>
      <c r="D164">
        <v>48</v>
      </c>
      <c r="E164" t="s">
        <v>23</v>
      </c>
      <c r="F164">
        <v>1</v>
      </c>
      <c r="G164">
        <v>2023</v>
      </c>
      <c r="H164">
        <v>3</v>
      </c>
      <c r="I164">
        <v>168</v>
      </c>
      <c r="J164">
        <v>8</v>
      </c>
      <c r="K164">
        <v>56</v>
      </c>
      <c r="L164" s="1">
        <f>DATE(sales__2[[#This Row],[year]],sales__2[[#This Row],[month]],1)</f>
        <v>44927</v>
      </c>
    </row>
    <row r="165" spans="1:12" x14ac:dyDescent="0.2">
      <c r="A165" t="s">
        <v>19</v>
      </c>
      <c r="B165" t="s">
        <v>16</v>
      </c>
      <c r="C165" t="s">
        <v>20</v>
      </c>
      <c r="D165">
        <v>17</v>
      </c>
      <c r="E165" t="s">
        <v>23</v>
      </c>
      <c r="F165">
        <v>1</v>
      </c>
      <c r="G165">
        <v>2023</v>
      </c>
      <c r="H165">
        <v>16</v>
      </c>
      <c r="I165">
        <v>304</v>
      </c>
      <c r="J165">
        <v>35</v>
      </c>
      <c r="K165">
        <v>19</v>
      </c>
      <c r="L165" s="1">
        <f>DATE(sales__2[[#This Row],[year]],sales__2[[#This Row],[month]],1)</f>
        <v>44927</v>
      </c>
    </row>
    <row r="166" spans="1:12" x14ac:dyDescent="0.2">
      <c r="A166" t="s">
        <v>21</v>
      </c>
      <c r="B166" t="s">
        <v>11</v>
      </c>
      <c r="C166" t="s">
        <v>20</v>
      </c>
      <c r="D166">
        <v>33</v>
      </c>
      <c r="E166" t="s">
        <v>23</v>
      </c>
      <c r="F166">
        <v>1</v>
      </c>
      <c r="G166">
        <v>2023</v>
      </c>
      <c r="H166">
        <v>8</v>
      </c>
      <c r="I166">
        <v>304</v>
      </c>
      <c r="J166">
        <v>20</v>
      </c>
      <c r="K166">
        <v>38</v>
      </c>
      <c r="L166" s="1">
        <f>DATE(sales__2[[#This Row],[year]],sales__2[[#This Row],[month]],1)</f>
        <v>44927</v>
      </c>
    </row>
    <row r="167" spans="1:12" x14ac:dyDescent="0.2">
      <c r="A167" t="s">
        <v>10</v>
      </c>
      <c r="B167" t="s">
        <v>11</v>
      </c>
      <c r="C167" t="s">
        <v>12</v>
      </c>
      <c r="D167">
        <v>28</v>
      </c>
      <c r="E167" t="s">
        <v>23</v>
      </c>
      <c r="F167">
        <v>2</v>
      </c>
      <c r="G167">
        <v>2023</v>
      </c>
      <c r="H167">
        <v>10</v>
      </c>
      <c r="I167">
        <v>320</v>
      </c>
      <c r="J167">
        <v>20</v>
      </c>
      <c r="K167">
        <v>32</v>
      </c>
      <c r="L167" s="1">
        <f>DATE(sales__2[[#This Row],[year]],sales__2[[#This Row],[month]],1)</f>
        <v>44958</v>
      </c>
    </row>
    <row r="168" spans="1:12" x14ac:dyDescent="0.2">
      <c r="A168" t="s">
        <v>10</v>
      </c>
      <c r="B168" t="s">
        <v>11</v>
      </c>
      <c r="C168" t="s">
        <v>12</v>
      </c>
      <c r="D168">
        <v>28</v>
      </c>
      <c r="E168" t="s">
        <v>25</v>
      </c>
      <c r="F168">
        <v>2</v>
      </c>
      <c r="G168">
        <v>2023</v>
      </c>
      <c r="H168">
        <v>8</v>
      </c>
      <c r="I168">
        <v>256</v>
      </c>
      <c r="J168">
        <v>18</v>
      </c>
      <c r="K168">
        <v>32</v>
      </c>
      <c r="L168" s="1">
        <f>DATE(sales__2[[#This Row],[year]],sales__2[[#This Row],[month]],1)</f>
        <v>44958</v>
      </c>
    </row>
    <row r="169" spans="1:12" x14ac:dyDescent="0.2">
      <c r="A169" t="s">
        <v>13</v>
      </c>
      <c r="B169" t="s">
        <v>14</v>
      </c>
      <c r="C169" t="s">
        <v>12</v>
      </c>
      <c r="D169">
        <v>32</v>
      </c>
      <c r="E169" t="s">
        <v>23</v>
      </c>
      <c r="F169">
        <v>2</v>
      </c>
      <c r="G169">
        <v>2023</v>
      </c>
      <c r="H169">
        <v>8</v>
      </c>
      <c r="I169">
        <v>252</v>
      </c>
      <c r="J169">
        <v>16</v>
      </c>
      <c r="K169">
        <v>36</v>
      </c>
      <c r="L169" s="1">
        <f>DATE(sales__2[[#This Row],[year]],sales__2[[#This Row],[month]],1)</f>
        <v>44958</v>
      </c>
    </row>
    <row r="170" spans="1:12" x14ac:dyDescent="0.2">
      <c r="A170" t="s">
        <v>15</v>
      </c>
      <c r="B170" t="s">
        <v>16</v>
      </c>
      <c r="C170" t="s">
        <v>12</v>
      </c>
      <c r="D170">
        <v>18</v>
      </c>
      <c r="E170" t="s">
        <v>23</v>
      </c>
      <c r="F170">
        <v>2</v>
      </c>
      <c r="G170">
        <v>2023</v>
      </c>
      <c r="H170">
        <v>10</v>
      </c>
      <c r="I170">
        <v>240</v>
      </c>
      <c r="J170">
        <v>25</v>
      </c>
      <c r="K170">
        <v>20</v>
      </c>
      <c r="L170" s="1">
        <f>DATE(sales__2[[#This Row],[year]],sales__2[[#This Row],[month]],1)</f>
        <v>44958</v>
      </c>
    </row>
    <row r="171" spans="1:12" x14ac:dyDescent="0.2">
      <c r="A171" t="s">
        <v>19</v>
      </c>
      <c r="B171" t="s">
        <v>16</v>
      </c>
      <c r="C171" t="s">
        <v>12</v>
      </c>
      <c r="D171">
        <v>15</v>
      </c>
      <c r="E171" t="s">
        <v>23</v>
      </c>
      <c r="F171">
        <v>2</v>
      </c>
      <c r="G171">
        <v>2023</v>
      </c>
      <c r="H171">
        <v>18</v>
      </c>
      <c r="I171">
        <v>306</v>
      </c>
      <c r="J171">
        <v>35</v>
      </c>
      <c r="K171">
        <v>17</v>
      </c>
      <c r="L171" s="1">
        <f>DATE(sales__2[[#This Row],[year]],sales__2[[#This Row],[month]],1)</f>
        <v>44958</v>
      </c>
    </row>
    <row r="172" spans="1:12" x14ac:dyDescent="0.2">
      <c r="A172" t="s">
        <v>10</v>
      </c>
      <c r="B172" t="s">
        <v>11</v>
      </c>
      <c r="C172" t="s">
        <v>12</v>
      </c>
      <c r="D172">
        <v>30</v>
      </c>
      <c r="E172" t="s">
        <v>23</v>
      </c>
      <c r="F172">
        <v>2</v>
      </c>
      <c r="G172">
        <v>2023</v>
      </c>
      <c r="H172">
        <v>9</v>
      </c>
      <c r="I172">
        <v>297</v>
      </c>
      <c r="J172">
        <v>20</v>
      </c>
      <c r="K172">
        <v>33</v>
      </c>
      <c r="L172" s="1">
        <f>DATE(sales__2[[#This Row],[year]],sales__2[[#This Row],[month]],1)</f>
        <v>44958</v>
      </c>
    </row>
    <row r="173" spans="1:12" x14ac:dyDescent="0.2">
      <c r="A173" t="s">
        <v>13</v>
      </c>
      <c r="B173" t="s">
        <v>14</v>
      </c>
      <c r="C173" t="s">
        <v>20</v>
      </c>
      <c r="D173">
        <v>35</v>
      </c>
      <c r="E173" t="s">
        <v>23</v>
      </c>
      <c r="F173">
        <v>2</v>
      </c>
      <c r="G173">
        <v>2023</v>
      </c>
      <c r="H173">
        <v>7</v>
      </c>
      <c r="I173">
        <v>234</v>
      </c>
      <c r="J173">
        <v>15</v>
      </c>
      <c r="K173">
        <v>39</v>
      </c>
      <c r="L173" s="1">
        <f>DATE(sales__2[[#This Row],[year]],sales__2[[#This Row],[month]],1)</f>
        <v>44958</v>
      </c>
    </row>
    <row r="174" spans="1:12" x14ac:dyDescent="0.2">
      <c r="A174" t="s">
        <v>15</v>
      </c>
      <c r="B174" t="s">
        <v>16</v>
      </c>
      <c r="C174" t="s">
        <v>20</v>
      </c>
      <c r="D174">
        <v>20</v>
      </c>
      <c r="E174" t="s">
        <v>23</v>
      </c>
      <c r="F174">
        <v>2</v>
      </c>
      <c r="G174">
        <v>2023</v>
      </c>
      <c r="H174">
        <v>11</v>
      </c>
      <c r="I174">
        <v>242</v>
      </c>
      <c r="J174">
        <v>25</v>
      </c>
      <c r="K174">
        <v>22</v>
      </c>
      <c r="L174" s="1">
        <f>DATE(sales__2[[#This Row],[year]],sales__2[[#This Row],[month]],1)</f>
        <v>44958</v>
      </c>
    </row>
    <row r="175" spans="1:12" x14ac:dyDescent="0.2">
      <c r="A175" t="s">
        <v>19</v>
      </c>
      <c r="B175" t="s">
        <v>16</v>
      </c>
      <c r="C175" t="s">
        <v>20</v>
      </c>
      <c r="D175">
        <v>17</v>
      </c>
      <c r="E175" t="s">
        <v>23</v>
      </c>
      <c r="F175">
        <v>2</v>
      </c>
      <c r="G175">
        <v>2023</v>
      </c>
      <c r="H175">
        <v>14</v>
      </c>
      <c r="I175">
        <v>266</v>
      </c>
      <c r="J175">
        <v>30</v>
      </c>
      <c r="K175">
        <v>19</v>
      </c>
      <c r="L175" s="1">
        <f>DATE(sales__2[[#This Row],[year]],sales__2[[#This Row],[month]],1)</f>
        <v>44958</v>
      </c>
    </row>
    <row r="176" spans="1:12" x14ac:dyDescent="0.2">
      <c r="A176" t="s">
        <v>21</v>
      </c>
      <c r="B176" t="s">
        <v>11</v>
      </c>
      <c r="C176" t="s">
        <v>20</v>
      </c>
      <c r="D176">
        <v>33</v>
      </c>
      <c r="E176" t="s">
        <v>23</v>
      </c>
      <c r="F176">
        <v>2</v>
      </c>
      <c r="G176">
        <v>2023</v>
      </c>
      <c r="H176">
        <v>6</v>
      </c>
      <c r="I176">
        <v>266</v>
      </c>
      <c r="J176">
        <v>16</v>
      </c>
      <c r="K176">
        <v>38</v>
      </c>
      <c r="L176" s="1">
        <f>DATE(sales__2[[#This Row],[year]],sales__2[[#This Row],[month]],1)</f>
        <v>44958</v>
      </c>
    </row>
    <row r="177" spans="1:12" x14ac:dyDescent="0.2">
      <c r="A177" t="s">
        <v>10</v>
      </c>
      <c r="B177" t="s">
        <v>11</v>
      </c>
      <c r="C177" t="s">
        <v>12</v>
      </c>
      <c r="D177">
        <v>28</v>
      </c>
      <c r="E177" t="s">
        <v>23</v>
      </c>
      <c r="F177">
        <v>3</v>
      </c>
      <c r="G177">
        <v>2023</v>
      </c>
      <c r="H177">
        <v>14</v>
      </c>
      <c r="I177">
        <v>448</v>
      </c>
      <c r="J177">
        <v>25</v>
      </c>
      <c r="K177">
        <v>32</v>
      </c>
      <c r="L177" s="1">
        <f>DATE(sales__2[[#This Row],[year]],sales__2[[#This Row],[month]],1)</f>
        <v>44986</v>
      </c>
    </row>
    <row r="178" spans="1:12" x14ac:dyDescent="0.2">
      <c r="A178" t="s">
        <v>10</v>
      </c>
      <c r="B178" t="s">
        <v>11</v>
      </c>
      <c r="C178" t="s">
        <v>12</v>
      </c>
      <c r="D178">
        <v>28</v>
      </c>
      <c r="E178" t="s">
        <v>27</v>
      </c>
      <c r="F178">
        <v>3</v>
      </c>
      <c r="G178">
        <v>2023</v>
      </c>
      <c r="H178">
        <v>10</v>
      </c>
      <c r="I178">
        <v>320</v>
      </c>
      <c r="J178">
        <v>20</v>
      </c>
      <c r="K178">
        <v>32</v>
      </c>
      <c r="L178" s="1">
        <f>DATE(sales__2[[#This Row],[year]],sales__2[[#This Row],[month]],1)</f>
        <v>44986</v>
      </c>
    </row>
    <row r="179" spans="1:12" x14ac:dyDescent="0.2">
      <c r="A179" t="s">
        <v>13</v>
      </c>
      <c r="B179" t="s">
        <v>14</v>
      </c>
      <c r="C179" t="s">
        <v>12</v>
      </c>
      <c r="D179">
        <v>32</v>
      </c>
      <c r="E179" t="s">
        <v>23</v>
      </c>
      <c r="F179">
        <v>3</v>
      </c>
      <c r="G179">
        <v>2023</v>
      </c>
      <c r="H179">
        <v>8</v>
      </c>
      <c r="I179">
        <v>288</v>
      </c>
      <c r="J179">
        <v>18</v>
      </c>
      <c r="K179">
        <v>36</v>
      </c>
      <c r="L179" s="1">
        <f>DATE(sales__2[[#This Row],[year]],sales__2[[#This Row],[month]],1)</f>
        <v>44986</v>
      </c>
    </row>
    <row r="180" spans="1:12" x14ac:dyDescent="0.2">
      <c r="A180" t="s">
        <v>15</v>
      </c>
      <c r="B180" t="s">
        <v>16</v>
      </c>
      <c r="C180" t="s">
        <v>12</v>
      </c>
      <c r="D180">
        <v>18</v>
      </c>
      <c r="E180" t="s">
        <v>23</v>
      </c>
      <c r="F180">
        <v>3</v>
      </c>
      <c r="G180">
        <v>2023</v>
      </c>
      <c r="H180">
        <v>16</v>
      </c>
      <c r="I180">
        <v>320</v>
      </c>
      <c r="J180">
        <v>35</v>
      </c>
      <c r="K180">
        <v>20</v>
      </c>
      <c r="L180" s="1">
        <f>DATE(sales__2[[#This Row],[year]],sales__2[[#This Row],[month]],1)</f>
        <v>44986</v>
      </c>
    </row>
    <row r="181" spans="1:12" x14ac:dyDescent="0.2">
      <c r="A181" t="s">
        <v>15</v>
      </c>
      <c r="B181" t="s">
        <v>16</v>
      </c>
      <c r="C181" t="s">
        <v>12</v>
      </c>
      <c r="D181">
        <v>18</v>
      </c>
      <c r="E181" t="s">
        <v>25</v>
      </c>
      <c r="F181">
        <v>3</v>
      </c>
      <c r="G181">
        <v>2023</v>
      </c>
      <c r="H181">
        <v>21</v>
      </c>
      <c r="I181">
        <v>400</v>
      </c>
      <c r="J181">
        <v>40</v>
      </c>
      <c r="K181">
        <v>20</v>
      </c>
      <c r="L181" s="1">
        <f>DATE(sales__2[[#This Row],[year]],sales__2[[#This Row],[month]],1)</f>
        <v>44986</v>
      </c>
    </row>
    <row r="182" spans="1:12" x14ac:dyDescent="0.2">
      <c r="A182" t="s">
        <v>19</v>
      </c>
      <c r="B182" t="s">
        <v>16</v>
      </c>
      <c r="C182" t="s">
        <v>12</v>
      </c>
      <c r="D182">
        <v>15</v>
      </c>
      <c r="E182" t="s">
        <v>23</v>
      </c>
      <c r="F182">
        <v>3</v>
      </c>
      <c r="G182">
        <v>2023</v>
      </c>
      <c r="H182">
        <v>22</v>
      </c>
      <c r="I182">
        <v>374</v>
      </c>
      <c r="J182">
        <v>45</v>
      </c>
      <c r="K182">
        <v>17</v>
      </c>
      <c r="L182" s="1">
        <f>DATE(sales__2[[#This Row],[year]],sales__2[[#This Row],[month]],1)</f>
        <v>44986</v>
      </c>
    </row>
    <row r="183" spans="1:12" x14ac:dyDescent="0.2">
      <c r="A183" t="s">
        <v>19</v>
      </c>
      <c r="B183" t="s">
        <v>16</v>
      </c>
      <c r="C183" t="s">
        <v>12</v>
      </c>
      <c r="D183">
        <v>15</v>
      </c>
      <c r="E183" t="s">
        <v>27</v>
      </c>
      <c r="F183">
        <v>3</v>
      </c>
      <c r="G183">
        <v>2023</v>
      </c>
      <c r="H183">
        <v>18</v>
      </c>
      <c r="I183">
        <v>306</v>
      </c>
      <c r="J183">
        <v>35</v>
      </c>
      <c r="K183">
        <v>17</v>
      </c>
      <c r="L183" s="1">
        <f>DATE(sales__2[[#This Row],[year]],sales__2[[#This Row],[month]],1)</f>
        <v>44986</v>
      </c>
    </row>
    <row r="184" spans="1:12" x14ac:dyDescent="0.2">
      <c r="A184" t="s">
        <v>10</v>
      </c>
      <c r="B184" t="s">
        <v>11</v>
      </c>
      <c r="C184" t="s">
        <v>12</v>
      </c>
      <c r="D184">
        <v>30</v>
      </c>
      <c r="E184" t="s">
        <v>23</v>
      </c>
      <c r="F184">
        <v>3</v>
      </c>
      <c r="G184">
        <v>2023</v>
      </c>
      <c r="H184">
        <v>12</v>
      </c>
      <c r="I184">
        <v>396</v>
      </c>
      <c r="J184">
        <v>25</v>
      </c>
      <c r="K184">
        <v>33</v>
      </c>
      <c r="L184" s="1">
        <f>DATE(sales__2[[#This Row],[year]],sales__2[[#This Row],[month]],1)</f>
        <v>44986</v>
      </c>
    </row>
    <row r="185" spans="1:12" x14ac:dyDescent="0.2">
      <c r="A185" t="s">
        <v>15</v>
      </c>
      <c r="B185" t="s">
        <v>16</v>
      </c>
      <c r="C185" t="s">
        <v>20</v>
      </c>
      <c r="D185">
        <v>20</v>
      </c>
      <c r="E185" t="s">
        <v>23</v>
      </c>
      <c r="F185">
        <v>3</v>
      </c>
      <c r="G185">
        <v>2023</v>
      </c>
      <c r="H185">
        <v>15</v>
      </c>
      <c r="I185">
        <v>330</v>
      </c>
      <c r="J185">
        <v>30</v>
      </c>
      <c r="K185">
        <v>22</v>
      </c>
      <c r="L185" s="1">
        <f>DATE(sales__2[[#This Row],[year]],sales__2[[#This Row],[month]],1)</f>
        <v>44986</v>
      </c>
    </row>
    <row r="186" spans="1:12" x14ac:dyDescent="0.2">
      <c r="A186" t="s">
        <v>19</v>
      </c>
      <c r="B186" t="s">
        <v>16</v>
      </c>
      <c r="C186" t="s">
        <v>20</v>
      </c>
      <c r="D186">
        <v>17</v>
      </c>
      <c r="E186" t="s">
        <v>23</v>
      </c>
      <c r="F186">
        <v>3</v>
      </c>
      <c r="G186">
        <v>2023</v>
      </c>
      <c r="H186">
        <v>18</v>
      </c>
      <c r="I186">
        <v>323</v>
      </c>
      <c r="J186">
        <v>35</v>
      </c>
      <c r="K186">
        <v>19</v>
      </c>
      <c r="L186" s="1">
        <f>DATE(sales__2[[#This Row],[year]],sales__2[[#This Row],[month]],1)</f>
        <v>44986</v>
      </c>
    </row>
    <row r="187" spans="1:12" x14ac:dyDescent="0.2">
      <c r="A187" t="s">
        <v>21</v>
      </c>
      <c r="B187" t="s">
        <v>11</v>
      </c>
      <c r="C187" t="s">
        <v>20</v>
      </c>
      <c r="D187">
        <v>33</v>
      </c>
      <c r="E187" t="s">
        <v>23</v>
      </c>
      <c r="F187">
        <v>3</v>
      </c>
      <c r="G187">
        <v>2023</v>
      </c>
      <c r="H187">
        <v>10</v>
      </c>
      <c r="I187">
        <v>342</v>
      </c>
      <c r="J187">
        <v>20</v>
      </c>
      <c r="K187">
        <v>38</v>
      </c>
      <c r="L187" s="1">
        <f>DATE(sales__2[[#This Row],[year]],sales__2[[#This Row],[month]],1)</f>
        <v>44986</v>
      </c>
    </row>
    <row r="188" spans="1:12" x14ac:dyDescent="0.2">
      <c r="A188" t="s">
        <v>10</v>
      </c>
      <c r="B188" t="s">
        <v>11</v>
      </c>
      <c r="C188" t="s">
        <v>12</v>
      </c>
      <c r="D188">
        <v>28</v>
      </c>
      <c r="E188" t="s">
        <v>23</v>
      </c>
      <c r="F188">
        <v>4</v>
      </c>
      <c r="G188">
        <v>2023</v>
      </c>
      <c r="H188">
        <v>16</v>
      </c>
      <c r="I188">
        <v>512</v>
      </c>
      <c r="J188">
        <v>30</v>
      </c>
      <c r="K188">
        <v>32</v>
      </c>
      <c r="L188" s="1">
        <f>DATE(sales__2[[#This Row],[year]],sales__2[[#This Row],[month]],1)</f>
        <v>45017</v>
      </c>
    </row>
    <row r="189" spans="1:12" x14ac:dyDescent="0.2">
      <c r="A189" t="s">
        <v>10</v>
      </c>
      <c r="B189" t="s">
        <v>11</v>
      </c>
      <c r="C189" t="s">
        <v>12</v>
      </c>
      <c r="D189">
        <v>28</v>
      </c>
      <c r="E189" t="s">
        <v>25</v>
      </c>
      <c r="F189">
        <v>4</v>
      </c>
      <c r="G189">
        <v>2023</v>
      </c>
      <c r="H189">
        <v>12</v>
      </c>
      <c r="I189">
        <v>384</v>
      </c>
      <c r="J189">
        <v>25</v>
      </c>
      <c r="K189">
        <v>32</v>
      </c>
      <c r="L189" s="1">
        <f>DATE(sales__2[[#This Row],[year]],sales__2[[#This Row],[month]],1)</f>
        <v>45017</v>
      </c>
    </row>
    <row r="190" spans="1:12" x14ac:dyDescent="0.2">
      <c r="A190" t="s">
        <v>13</v>
      </c>
      <c r="B190" t="s">
        <v>14</v>
      </c>
      <c r="C190" t="s">
        <v>12</v>
      </c>
      <c r="D190">
        <v>32</v>
      </c>
      <c r="E190" t="s">
        <v>23</v>
      </c>
      <c r="F190">
        <v>4</v>
      </c>
      <c r="G190">
        <v>2023</v>
      </c>
      <c r="H190">
        <v>10</v>
      </c>
      <c r="I190">
        <v>360</v>
      </c>
      <c r="J190">
        <v>22</v>
      </c>
      <c r="K190">
        <v>36</v>
      </c>
      <c r="L190" s="1">
        <f>DATE(sales__2[[#This Row],[year]],sales__2[[#This Row],[month]],1)</f>
        <v>45017</v>
      </c>
    </row>
    <row r="191" spans="1:12" x14ac:dyDescent="0.2">
      <c r="A191" t="s">
        <v>15</v>
      </c>
      <c r="B191" t="s">
        <v>16</v>
      </c>
      <c r="C191" t="s">
        <v>12</v>
      </c>
      <c r="D191">
        <v>18</v>
      </c>
      <c r="E191" t="s">
        <v>23</v>
      </c>
      <c r="F191">
        <v>4</v>
      </c>
      <c r="G191">
        <v>2023</v>
      </c>
      <c r="H191">
        <v>18</v>
      </c>
      <c r="I191">
        <v>360</v>
      </c>
      <c r="J191">
        <v>35</v>
      </c>
      <c r="K191">
        <v>20</v>
      </c>
      <c r="L191" s="1">
        <f>DATE(sales__2[[#This Row],[year]],sales__2[[#This Row],[month]],1)</f>
        <v>45017</v>
      </c>
    </row>
    <row r="192" spans="1:12" x14ac:dyDescent="0.2">
      <c r="A192" t="s">
        <v>17</v>
      </c>
      <c r="B192" t="s">
        <v>18</v>
      </c>
      <c r="C192" t="s">
        <v>12</v>
      </c>
      <c r="D192">
        <v>45</v>
      </c>
      <c r="E192" t="s">
        <v>23</v>
      </c>
      <c r="F192">
        <v>4</v>
      </c>
      <c r="G192">
        <v>2023</v>
      </c>
      <c r="H192">
        <v>5</v>
      </c>
      <c r="I192">
        <v>260</v>
      </c>
      <c r="J192">
        <v>12</v>
      </c>
      <c r="K192">
        <v>52</v>
      </c>
      <c r="L192" s="1">
        <f>DATE(sales__2[[#This Row],[year]],sales__2[[#This Row],[month]],1)</f>
        <v>45017</v>
      </c>
    </row>
    <row r="193" spans="1:12" x14ac:dyDescent="0.2">
      <c r="A193" t="s">
        <v>19</v>
      </c>
      <c r="B193" t="s">
        <v>16</v>
      </c>
      <c r="C193" t="s">
        <v>12</v>
      </c>
      <c r="D193">
        <v>15</v>
      </c>
      <c r="E193" t="s">
        <v>23</v>
      </c>
      <c r="F193">
        <v>4</v>
      </c>
      <c r="G193">
        <v>2023</v>
      </c>
      <c r="H193">
        <v>25</v>
      </c>
      <c r="I193">
        <v>425</v>
      </c>
      <c r="J193">
        <v>50</v>
      </c>
      <c r="K193">
        <v>17</v>
      </c>
      <c r="L193" s="1">
        <f>DATE(sales__2[[#This Row],[year]],sales__2[[#This Row],[month]],1)</f>
        <v>45017</v>
      </c>
    </row>
    <row r="194" spans="1:12" x14ac:dyDescent="0.2">
      <c r="A194" t="s">
        <v>19</v>
      </c>
      <c r="B194" t="s">
        <v>16</v>
      </c>
      <c r="C194" t="s">
        <v>12</v>
      </c>
      <c r="D194">
        <v>15</v>
      </c>
      <c r="E194" t="s">
        <v>25</v>
      </c>
      <c r="F194">
        <v>4</v>
      </c>
      <c r="G194">
        <v>2023</v>
      </c>
      <c r="H194">
        <v>22</v>
      </c>
      <c r="I194">
        <v>374</v>
      </c>
      <c r="J194">
        <v>45</v>
      </c>
      <c r="K194">
        <v>17</v>
      </c>
      <c r="L194" s="1">
        <f>DATE(sales__2[[#This Row],[year]],sales__2[[#This Row],[month]],1)</f>
        <v>45017</v>
      </c>
    </row>
    <row r="195" spans="1:12" x14ac:dyDescent="0.2">
      <c r="A195" t="s">
        <v>10</v>
      </c>
      <c r="B195" t="s">
        <v>11</v>
      </c>
      <c r="C195" t="s">
        <v>12</v>
      </c>
      <c r="D195">
        <v>30</v>
      </c>
      <c r="E195" t="s">
        <v>23</v>
      </c>
      <c r="F195">
        <v>4</v>
      </c>
      <c r="G195">
        <v>2023</v>
      </c>
      <c r="H195">
        <v>14</v>
      </c>
      <c r="I195">
        <v>462</v>
      </c>
      <c r="J195">
        <v>30</v>
      </c>
      <c r="K195">
        <v>33</v>
      </c>
      <c r="L195" s="1">
        <f>DATE(sales__2[[#This Row],[year]],sales__2[[#This Row],[month]],1)</f>
        <v>45017</v>
      </c>
    </row>
    <row r="196" spans="1:12" x14ac:dyDescent="0.2">
      <c r="A196" t="s">
        <v>13</v>
      </c>
      <c r="B196" t="s">
        <v>14</v>
      </c>
      <c r="C196" t="s">
        <v>20</v>
      </c>
      <c r="D196">
        <v>35</v>
      </c>
      <c r="E196" t="s">
        <v>23</v>
      </c>
      <c r="F196">
        <v>4</v>
      </c>
      <c r="G196">
        <v>2023</v>
      </c>
      <c r="H196">
        <v>8</v>
      </c>
      <c r="I196">
        <v>312</v>
      </c>
      <c r="J196">
        <v>20</v>
      </c>
      <c r="K196">
        <v>39</v>
      </c>
      <c r="L196" s="1">
        <f>DATE(sales__2[[#This Row],[year]],sales__2[[#This Row],[month]],1)</f>
        <v>45017</v>
      </c>
    </row>
    <row r="197" spans="1:12" x14ac:dyDescent="0.2">
      <c r="A197" t="s">
        <v>15</v>
      </c>
      <c r="B197" t="s">
        <v>16</v>
      </c>
      <c r="C197" t="s">
        <v>20</v>
      </c>
      <c r="D197">
        <v>20</v>
      </c>
      <c r="E197" t="s">
        <v>23</v>
      </c>
      <c r="F197">
        <v>4</v>
      </c>
      <c r="G197">
        <v>2023</v>
      </c>
      <c r="H197">
        <v>16</v>
      </c>
      <c r="I197">
        <v>352</v>
      </c>
      <c r="J197">
        <v>35</v>
      </c>
      <c r="K197">
        <v>22</v>
      </c>
      <c r="L197" s="1">
        <f>DATE(sales__2[[#This Row],[year]],sales__2[[#This Row],[month]],1)</f>
        <v>45017</v>
      </c>
    </row>
    <row r="198" spans="1:12" x14ac:dyDescent="0.2">
      <c r="A198" t="s">
        <v>17</v>
      </c>
      <c r="B198" t="s">
        <v>18</v>
      </c>
      <c r="C198" t="s">
        <v>20</v>
      </c>
      <c r="D198">
        <v>48</v>
      </c>
      <c r="E198" t="s">
        <v>23</v>
      </c>
      <c r="F198">
        <v>4</v>
      </c>
      <c r="G198">
        <v>2023</v>
      </c>
      <c r="H198">
        <v>4</v>
      </c>
      <c r="I198">
        <v>224</v>
      </c>
      <c r="J198">
        <v>10</v>
      </c>
      <c r="K198">
        <v>56</v>
      </c>
      <c r="L198" s="1">
        <f>DATE(sales__2[[#This Row],[year]],sales__2[[#This Row],[month]],1)</f>
        <v>45017</v>
      </c>
    </row>
    <row r="199" spans="1:12" x14ac:dyDescent="0.2">
      <c r="A199" t="s">
        <v>19</v>
      </c>
      <c r="B199" t="s">
        <v>16</v>
      </c>
      <c r="C199" t="s">
        <v>20</v>
      </c>
      <c r="D199">
        <v>17</v>
      </c>
      <c r="E199" t="s">
        <v>23</v>
      </c>
      <c r="F199">
        <v>4</v>
      </c>
      <c r="G199">
        <v>2023</v>
      </c>
      <c r="H199">
        <v>18</v>
      </c>
      <c r="I199">
        <v>361</v>
      </c>
      <c r="J199">
        <v>40</v>
      </c>
      <c r="K199">
        <v>19</v>
      </c>
      <c r="L199" s="1">
        <f>DATE(sales__2[[#This Row],[year]],sales__2[[#This Row],[month]],1)</f>
        <v>45017</v>
      </c>
    </row>
    <row r="200" spans="1:12" x14ac:dyDescent="0.2">
      <c r="A200" t="s">
        <v>21</v>
      </c>
      <c r="B200" t="s">
        <v>11</v>
      </c>
      <c r="C200" t="s">
        <v>20</v>
      </c>
      <c r="D200">
        <v>33</v>
      </c>
      <c r="E200" t="s">
        <v>23</v>
      </c>
      <c r="F200">
        <v>4</v>
      </c>
      <c r="G200">
        <v>2023</v>
      </c>
      <c r="H200">
        <v>10</v>
      </c>
      <c r="I200">
        <v>380</v>
      </c>
      <c r="J200">
        <v>22</v>
      </c>
      <c r="K200">
        <v>38</v>
      </c>
      <c r="L200" s="1">
        <f>DATE(sales__2[[#This Row],[year]],sales__2[[#This Row],[month]],1)</f>
        <v>45017</v>
      </c>
    </row>
    <row r="201" spans="1:12" x14ac:dyDescent="0.2">
      <c r="A201" t="s">
        <v>10</v>
      </c>
      <c r="B201" t="s">
        <v>11</v>
      </c>
      <c r="C201" t="s">
        <v>12</v>
      </c>
      <c r="D201">
        <v>28</v>
      </c>
      <c r="E201" t="s">
        <v>23</v>
      </c>
      <c r="F201">
        <v>5</v>
      </c>
      <c r="G201">
        <v>2023</v>
      </c>
      <c r="H201">
        <v>18</v>
      </c>
      <c r="I201">
        <v>576</v>
      </c>
      <c r="J201">
        <v>35</v>
      </c>
      <c r="K201">
        <v>32</v>
      </c>
      <c r="L201" s="1">
        <f>DATE(sales__2[[#This Row],[year]],sales__2[[#This Row],[month]],1)</f>
        <v>45047</v>
      </c>
    </row>
    <row r="202" spans="1:12" x14ac:dyDescent="0.2">
      <c r="A202" t="s">
        <v>10</v>
      </c>
      <c r="B202" t="s">
        <v>11</v>
      </c>
      <c r="C202" t="s">
        <v>12</v>
      </c>
      <c r="D202">
        <v>28</v>
      </c>
      <c r="E202" t="s">
        <v>27</v>
      </c>
      <c r="F202">
        <v>5</v>
      </c>
      <c r="G202">
        <v>2023</v>
      </c>
      <c r="H202">
        <v>14</v>
      </c>
      <c r="I202">
        <v>448</v>
      </c>
      <c r="J202">
        <v>30</v>
      </c>
      <c r="K202">
        <v>32</v>
      </c>
      <c r="L202" s="1">
        <f>DATE(sales__2[[#This Row],[year]],sales__2[[#This Row],[month]],1)</f>
        <v>45047</v>
      </c>
    </row>
    <row r="203" spans="1:12" x14ac:dyDescent="0.2">
      <c r="A203" t="s">
        <v>13</v>
      </c>
      <c r="B203" t="s">
        <v>14</v>
      </c>
      <c r="C203" t="s">
        <v>12</v>
      </c>
      <c r="D203">
        <v>32</v>
      </c>
      <c r="E203" t="s">
        <v>23</v>
      </c>
      <c r="F203">
        <v>5</v>
      </c>
      <c r="G203">
        <v>2023</v>
      </c>
      <c r="H203">
        <v>11</v>
      </c>
      <c r="I203">
        <v>432</v>
      </c>
      <c r="J203">
        <v>25</v>
      </c>
      <c r="K203">
        <v>36</v>
      </c>
      <c r="L203" s="1">
        <f>DATE(sales__2[[#This Row],[year]],sales__2[[#This Row],[month]],1)</f>
        <v>45047</v>
      </c>
    </row>
    <row r="204" spans="1:12" x14ac:dyDescent="0.2">
      <c r="A204" t="s">
        <v>15</v>
      </c>
      <c r="B204" t="s">
        <v>16</v>
      </c>
      <c r="C204" t="s">
        <v>12</v>
      </c>
      <c r="D204">
        <v>18</v>
      </c>
      <c r="E204" t="s">
        <v>23</v>
      </c>
      <c r="F204">
        <v>5</v>
      </c>
      <c r="G204">
        <v>2023</v>
      </c>
      <c r="H204">
        <v>20</v>
      </c>
      <c r="I204">
        <v>400</v>
      </c>
      <c r="J204">
        <v>40</v>
      </c>
      <c r="K204">
        <v>20</v>
      </c>
      <c r="L204" s="1">
        <f>DATE(sales__2[[#This Row],[year]],sales__2[[#This Row],[month]],1)</f>
        <v>45047</v>
      </c>
    </row>
    <row r="205" spans="1:12" x14ac:dyDescent="0.2">
      <c r="A205" t="s">
        <v>15</v>
      </c>
      <c r="B205" t="s">
        <v>16</v>
      </c>
      <c r="C205" t="s">
        <v>12</v>
      </c>
      <c r="D205">
        <v>18</v>
      </c>
      <c r="E205" t="s">
        <v>28</v>
      </c>
      <c r="F205">
        <v>5</v>
      </c>
      <c r="G205">
        <v>2023</v>
      </c>
      <c r="H205">
        <v>13</v>
      </c>
      <c r="I205">
        <v>240</v>
      </c>
      <c r="J205">
        <v>25</v>
      </c>
      <c r="K205">
        <v>20</v>
      </c>
      <c r="L205" s="1">
        <f>DATE(sales__2[[#This Row],[year]],sales__2[[#This Row],[month]],1)</f>
        <v>45047</v>
      </c>
    </row>
    <row r="206" spans="1:12" x14ac:dyDescent="0.2">
      <c r="A206" t="s">
        <v>19</v>
      </c>
      <c r="B206" t="s">
        <v>16</v>
      </c>
      <c r="C206" t="s">
        <v>12</v>
      </c>
      <c r="D206">
        <v>15</v>
      </c>
      <c r="E206" t="s">
        <v>23</v>
      </c>
      <c r="F206">
        <v>5</v>
      </c>
      <c r="G206">
        <v>2023</v>
      </c>
      <c r="H206">
        <v>27</v>
      </c>
      <c r="I206">
        <v>425</v>
      </c>
      <c r="J206">
        <v>50</v>
      </c>
      <c r="K206">
        <v>17</v>
      </c>
      <c r="L206" s="1">
        <f>DATE(sales__2[[#This Row],[year]],sales__2[[#This Row],[month]],1)</f>
        <v>45047</v>
      </c>
    </row>
    <row r="207" spans="1:12" x14ac:dyDescent="0.2">
      <c r="A207" t="s">
        <v>19</v>
      </c>
      <c r="B207" t="s">
        <v>16</v>
      </c>
      <c r="C207" t="s">
        <v>12</v>
      </c>
      <c r="D207">
        <v>15</v>
      </c>
      <c r="E207" t="s">
        <v>27</v>
      </c>
      <c r="F207">
        <v>5</v>
      </c>
      <c r="G207">
        <v>2023</v>
      </c>
      <c r="H207">
        <v>20</v>
      </c>
      <c r="I207">
        <v>340</v>
      </c>
      <c r="J207">
        <v>40</v>
      </c>
      <c r="K207">
        <v>17</v>
      </c>
      <c r="L207" s="1">
        <f>DATE(sales__2[[#This Row],[year]],sales__2[[#This Row],[month]],1)</f>
        <v>45047</v>
      </c>
    </row>
    <row r="208" spans="1:12" x14ac:dyDescent="0.2">
      <c r="A208" t="s">
        <v>10</v>
      </c>
      <c r="B208" t="s">
        <v>11</v>
      </c>
      <c r="C208" t="s">
        <v>12</v>
      </c>
      <c r="D208">
        <v>30</v>
      </c>
      <c r="E208" t="s">
        <v>23</v>
      </c>
      <c r="F208">
        <v>5</v>
      </c>
      <c r="G208">
        <v>2023</v>
      </c>
      <c r="H208">
        <v>15</v>
      </c>
      <c r="I208">
        <v>495</v>
      </c>
      <c r="J208">
        <v>30</v>
      </c>
      <c r="K208">
        <v>33</v>
      </c>
      <c r="L208" s="1">
        <f>DATE(sales__2[[#This Row],[year]],sales__2[[#This Row],[month]],1)</f>
        <v>45047</v>
      </c>
    </row>
    <row r="209" spans="1:12" x14ac:dyDescent="0.2">
      <c r="A209" t="s">
        <v>15</v>
      </c>
      <c r="B209" t="s">
        <v>16</v>
      </c>
      <c r="C209" t="s">
        <v>20</v>
      </c>
      <c r="D209">
        <v>20</v>
      </c>
      <c r="E209" t="s">
        <v>23</v>
      </c>
      <c r="F209">
        <v>5</v>
      </c>
      <c r="G209">
        <v>2023</v>
      </c>
      <c r="H209">
        <v>20</v>
      </c>
      <c r="I209">
        <v>374</v>
      </c>
      <c r="J209">
        <v>35</v>
      </c>
      <c r="K209">
        <v>22</v>
      </c>
      <c r="L209" s="1">
        <f>DATE(sales__2[[#This Row],[year]],sales__2[[#This Row],[month]],1)</f>
        <v>45047</v>
      </c>
    </row>
    <row r="210" spans="1:12" x14ac:dyDescent="0.2">
      <c r="A210" t="s">
        <v>19</v>
      </c>
      <c r="B210" t="s">
        <v>16</v>
      </c>
      <c r="C210" t="s">
        <v>20</v>
      </c>
      <c r="D210">
        <v>17</v>
      </c>
      <c r="E210" t="s">
        <v>23</v>
      </c>
      <c r="F210">
        <v>5</v>
      </c>
      <c r="G210">
        <v>2023</v>
      </c>
      <c r="H210">
        <v>20</v>
      </c>
      <c r="I210">
        <v>380</v>
      </c>
      <c r="J210">
        <v>40</v>
      </c>
      <c r="K210">
        <v>19</v>
      </c>
      <c r="L210" s="1">
        <f>DATE(sales__2[[#This Row],[year]],sales__2[[#This Row],[month]],1)</f>
        <v>45047</v>
      </c>
    </row>
    <row r="211" spans="1:12" x14ac:dyDescent="0.2">
      <c r="A211" t="s">
        <v>21</v>
      </c>
      <c r="B211" t="s">
        <v>11</v>
      </c>
      <c r="C211" t="s">
        <v>20</v>
      </c>
      <c r="D211">
        <v>33</v>
      </c>
      <c r="E211" t="s">
        <v>23</v>
      </c>
      <c r="F211">
        <v>5</v>
      </c>
      <c r="G211">
        <v>2023</v>
      </c>
      <c r="H211">
        <v>9</v>
      </c>
      <c r="I211">
        <v>380</v>
      </c>
      <c r="J211">
        <v>22</v>
      </c>
      <c r="K211">
        <v>38</v>
      </c>
      <c r="L211" s="1">
        <f>DATE(sales__2[[#This Row],[year]],sales__2[[#This Row],[month]],1)</f>
        <v>45047</v>
      </c>
    </row>
    <row r="212" spans="1:12" x14ac:dyDescent="0.2">
      <c r="A212" t="s">
        <v>10</v>
      </c>
      <c r="B212" t="s">
        <v>11</v>
      </c>
      <c r="C212" t="s">
        <v>12</v>
      </c>
      <c r="D212">
        <v>28</v>
      </c>
      <c r="E212" t="s">
        <v>23</v>
      </c>
      <c r="F212">
        <v>6</v>
      </c>
      <c r="G212">
        <v>2023</v>
      </c>
      <c r="H212">
        <v>18</v>
      </c>
      <c r="I212">
        <v>576</v>
      </c>
      <c r="J212">
        <v>40</v>
      </c>
      <c r="K212">
        <v>32</v>
      </c>
      <c r="L212" s="1">
        <f>DATE(sales__2[[#This Row],[year]],sales__2[[#This Row],[month]],1)</f>
        <v>45078</v>
      </c>
    </row>
    <row r="213" spans="1:12" x14ac:dyDescent="0.2">
      <c r="A213" t="s">
        <v>10</v>
      </c>
      <c r="B213" t="s">
        <v>11</v>
      </c>
      <c r="C213" t="s">
        <v>12</v>
      </c>
      <c r="D213">
        <v>28</v>
      </c>
      <c r="E213" t="s">
        <v>25</v>
      </c>
      <c r="F213">
        <v>6</v>
      </c>
      <c r="G213">
        <v>2023</v>
      </c>
      <c r="H213">
        <v>15</v>
      </c>
      <c r="I213">
        <v>480</v>
      </c>
      <c r="J213">
        <v>30</v>
      </c>
      <c r="K213">
        <v>32</v>
      </c>
      <c r="L213" s="1">
        <f>DATE(sales__2[[#This Row],[year]],sales__2[[#This Row],[month]],1)</f>
        <v>45078</v>
      </c>
    </row>
    <row r="214" spans="1:12" x14ac:dyDescent="0.2">
      <c r="A214" t="s">
        <v>13</v>
      </c>
      <c r="B214" t="s">
        <v>14</v>
      </c>
      <c r="C214" t="s">
        <v>12</v>
      </c>
      <c r="D214">
        <v>32</v>
      </c>
      <c r="E214" t="s">
        <v>23</v>
      </c>
      <c r="F214">
        <v>6</v>
      </c>
      <c r="G214">
        <v>2023</v>
      </c>
      <c r="H214">
        <v>12</v>
      </c>
      <c r="I214">
        <v>432</v>
      </c>
      <c r="J214">
        <v>25</v>
      </c>
      <c r="K214">
        <v>36</v>
      </c>
      <c r="L214" s="1">
        <f>DATE(sales__2[[#This Row],[year]],sales__2[[#This Row],[month]],1)</f>
        <v>45078</v>
      </c>
    </row>
    <row r="215" spans="1:12" x14ac:dyDescent="0.2">
      <c r="A215" t="s">
        <v>15</v>
      </c>
      <c r="B215" t="s">
        <v>16</v>
      </c>
      <c r="C215" t="s">
        <v>12</v>
      </c>
      <c r="D215">
        <v>18</v>
      </c>
      <c r="E215" t="s">
        <v>23</v>
      </c>
      <c r="F215">
        <v>6</v>
      </c>
      <c r="G215">
        <v>2023</v>
      </c>
      <c r="H215">
        <v>22</v>
      </c>
      <c r="I215">
        <v>440</v>
      </c>
      <c r="J215">
        <v>45</v>
      </c>
      <c r="K215">
        <v>20</v>
      </c>
      <c r="L215" s="1">
        <f>DATE(sales__2[[#This Row],[year]],sales__2[[#This Row],[month]],1)</f>
        <v>45078</v>
      </c>
    </row>
    <row r="216" spans="1:12" x14ac:dyDescent="0.2">
      <c r="A216" t="s">
        <v>15</v>
      </c>
      <c r="B216" t="s">
        <v>16</v>
      </c>
      <c r="C216" t="s">
        <v>12</v>
      </c>
      <c r="D216">
        <v>18</v>
      </c>
      <c r="E216" t="s">
        <v>25</v>
      </c>
      <c r="F216">
        <v>6</v>
      </c>
      <c r="G216">
        <v>2023</v>
      </c>
      <c r="H216">
        <v>25</v>
      </c>
      <c r="I216">
        <v>500</v>
      </c>
      <c r="J216">
        <v>50</v>
      </c>
      <c r="K216">
        <v>20</v>
      </c>
      <c r="L216" s="1">
        <f>DATE(sales__2[[#This Row],[year]],sales__2[[#This Row],[month]],1)</f>
        <v>45078</v>
      </c>
    </row>
    <row r="217" spans="1:12" x14ac:dyDescent="0.2">
      <c r="A217" t="s">
        <v>19</v>
      </c>
      <c r="B217" t="s">
        <v>16</v>
      </c>
      <c r="C217" t="s">
        <v>12</v>
      </c>
      <c r="D217">
        <v>15</v>
      </c>
      <c r="E217" t="s">
        <v>23</v>
      </c>
      <c r="F217">
        <v>6</v>
      </c>
      <c r="G217">
        <v>2023</v>
      </c>
      <c r="H217">
        <v>29</v>
      </c>
      <c r="I217">
        <v>476</v>
      </c>
      <c r="J217">
        <v>55</v>
      </c>
      <c r="K217">
        <v>17</v>
      </c>
      <c r="L217" s="1">
        <f>DATE(sales__2[[#This Row],[year]],sales__2[[#This Row],[month]],1)</f>
        <v>45078</v>
      </c>
    </row>
    <row r="218" spans="1:12" x14ac:dyDescent="0.2">
      <c r="A218" t="s">
        <v>19</v>
      </c>
      <c r="B218" t="s">
        <v>16</v>
      </c>
      <c r="C218" t="s">
        <v>12</v>
      </c>
      <c r="D218">
        <v>15</v>
      </c>
      <c r="E218" t="s">
        <v>25</v>
      </c>
      <c r="F218">
        <v>6</v>
      </c>
      <c r="G218">
        <v>2023</v>
      </c>
      <c r="H218">
        <v>25</v>
      </c>
      <c r="I218">
        <v>425</v>
      </c>
      <c r="J218">
        <v>50</v>
      </c>
      <c r="K218">
        <v>17</v>
      </c>
      <c r="L218" s="1">
        <f>DATE(sales__2[[#This Row],[year]],sales__2[[#This Row],[month]],1)</f>
        <v>45078</v>
      </c>
    </row>
    <row r="219" spans="1:12" x14ac:dyDescent="0.2">
      <c r="A219" t="s">
        <v>19</v>
      </c>
      <c r="B219" t="s">
        <v>16</v>
      </c>
      <c r="C219" t="s">
        <v>12</v>
      </c>
      <c r="D219">
        <v>15</v>
      </c>
      <c r="E219" t="s">
        <v>27</v>
      </c>
      <c r="F219">
        <v>6</v>
      </c>
      <c r="G219">
        <v>2023</v>
      </c>
      <c r="H219">
        <v>22</v>
      </c>
      <c r="I219">
        <v>374</v>
      </c>
      <c r="J219">
        <v>45</v>
      </c>
      <c r="K219">
        <v>17</v>
      </c>
      <c r="L219" s="1">
        <f>DATE(sales__2[[#This Row],[year]],sales__2[[#This Row],[month]],1)</f>
        <v>45078</v>
      </c>
    </row>
    <row r="220" spans="1:12" x14ac:dyDescent="0.2">
      <c r="A220" t="s">
        <v>10</v>
      </c>
      <c r="B220" t="s">
        <v>11</v>
      </c>
      <c r="C220" t="s">
        <v>12</v>
      </c>
      <c r="D220">
        <v>30</v>
      </c>
      <c r="E220" t="s">
        <v>23</v>
      </c>
      <c r="F220">
        <v>6</v>
      </c>
      <c r="G220">
        <v>2023</v>
      </c>
      <c r="H220">
        <v>17</v>
      </c>
      <c r="I220">
        <v>561</v>
      </c>
      <c r="J220">
        <v>35</v>
      </c>
      <c r="K220">
        <v>33</v>
      </c>
      <c r="L220" s="1">
        <f>DATE(sales__2[[#This Row],[year]],sales__2[[#This Row],[month]],1)</f>
        <v>45078</v>
      </c>
    </row>
    <row r="221" spans="1:12" x14ac:dyDescent="0.2">
      <c r="A221" t="s">
        <v>13</v>
      </c>
      <c r="B221" t="s">
        <v>14</v>
      </c>
      <c r="C221" t="s">
        <v>20</v>
      </c>
      <c r="D221">
        <v>35</v>
      </c>
      <c r="E221" t="s">
        <v>23</v>
      </c>
      <c r="F221">
        <v>6</v>
      </c>
      <c r="G221">
        <v>2023</v>
      </c>
      <c r="H221">
        <v>9</v>
      </c>
      <c r="I221">
        <v>351</v>
      </c>
      <c r="J221">
        <v>20</v>
      </c>
      <c r="K221">
        <v>39</v>
      </c>
      <c r="L221" s="1">
        <f>DATE(sales__2[[#This Row],[year]],sales__2[[#This Row],[month]],1)</f>
        <v>45078</v>
      </c>
    </row>
    <row r="222" spans="1:12" x14ac:dyDescent="0.2">
      <c r="A222" t="s">
        <v>15</v>
      </c>
      <c r="B222" t="s">
        <v>16</v>
      </c>
      <c r="C222" t="s">
        <v>20</v>
      </c>
      <c r="D222">
        <v>20</v>
      </c>
      <c r="E222" t="s">
        <v>23</v>
      </c>
      <c r="F222">
        <v>6</v>
      </c>
      <c r="G222">
        <v>2023</v>
      </c>
      <c r="H222">
        <v>19</v>
      </c>
      <c r="I222">
        <v>418</v>
      </c>
      <c r="J222">
        <v>40</v>
      </c>
      <c r="K222">
        <v>22</v>
      </c>
      <c r="L222" s="1">
        <f>DATE(sales__2[[#This Row],[year]],sales__2[[#This Row],[month]],1)</f>
        <v>45078</v>
      </c>
    </row>
    <row r="223" spans="1:12" x14ac:dyDescent="0.2">
      <c r="A223" t="s">
        <v>19</v>
      </c>
      <c r="B223" t="s">
        <v>16</v>
      </c>
      <c r="C223" t="s">
        <v>20</v>
      </c>
      <c r="D223">
        <v>17</v>
      </c>
      <c r="E223" t="s">
        <v>23</v>
      </c>
      <c r="F223">
        <v>6</v>
      </c>
      <c r="G223">
        <v>2023</v>
      </c>
      <c r="H223" t="s">
        <v>71</v>
      </c>
      <c r="I223">
        <v>437</v>
      </c>
      <c r="J223">
        <v>45</v>
      </c>
      <c r="K223">
        <v>19</v>
      </c>
      <c r="L223" s="1">
        <f>DATE(sales__2[[#This Row],[year]],sales__2[[#This Row],[month]],1)</f>
        <v>45078</v>
      </c>
    </row>
    <row r="224" spans="1:12" x14ac:dyDescent="0.2">
      <c r="A224" t="s">
        <v>21</v>
      </c>
      <c r="B224" t="s">
        <v>11</v>
      </c>
      <c r="C224" t="s">
        <v>20</v>
      </c>
      <c r="D224">
        <v>33</v>
      </c>
      <c r="E224" t="s">
        <v>23</v>
      </c>
      <c r="F224">
        <v>6</v>
      </c>
      <c r="G224">
        <v>2023</v>
      </c>
      <c r="H224">
        <v>12</v>
      </c>
      <c r="I224">
        <v>456</v>
      </c>
      <c r="J224">
        <v>25</v>
      </c>
      <c r="K224">
        <v>38</v>
      </c>
      <c r="L224" s="1">
        <f>DATE(sales__2[[#This Row],[year]],sales__2[[#This Row],[month]],1)</f>
        <v>45078</v>
      </c>
    </row>
    <row r="225" spans="1:12" x14ac:dyDescent="0.2">
      <c r="A225" t="s">
        <v>10</v>
      </c>
      <c r="B225" t="s">
        <v>11</v>
      </c>
      <c r="C225" t="s">
        <v>12</v>
      </c>
      <c r="D225">
        <v>28</v>
      </c>
      <c r="E225" t="s">
        <v>23</v>
      </c>
      <c r="F225">
        <v>7</v>
      </c>
      <c r="G225">
        <v>2023</v>
      </c>
      <c r="H225">
        <v>20</v>
      </c>
      <c r="I225">
        <v>640</v>
      </c>
      <c r="J225">
        <v>45</v>
      </c>
      <c r="K225">
        <v>32</v>
      </c>
      <c r="L225" s="1">
        <f>DATE(sales__2[[#This Row],[year]],sales__2[[#This Row],[month]],1)</f>
        <v>45108</v>
      </c>
    </row>
    <row r="226" spans="1:12" x14ac:dyDescent="0.2">
      <c r="A226" t="s">
        <v>10</v>
      </c>
      <c r="B226" t="s">
        <v>11</v>
      </c>
      <c r="C226" t="s">
        <v>12</v>
      </c>
      <c r="D226">
        <v>28</v>
      </c>
      <c r="E226" t="s">
        <v>27</v>
      </c>
      <c r="F226">
        <v>7</v>
      </c>
      <c r="G226">
        <v>2023</v>
      </c>
      <c r="H226">
        <v>16</v>
      </c>
      <c r="I226">
        <v>512</v>
      </c>
      <c r="J226">
        <v>35</v>
      </c>
      <c r="K226">
        <v>32</v>
      </c>
      <c r="L226" s="1">
        <f>DATE(sales__2[[#This Row],[year]],sales__2[[#This Row],[month]],1)</f>
        <v>45108</v>
      </c>
    </row>
    <row r="227" spans="1:12" x14ac:dyDescent="0.2">
      <c r="A227" t="s">
        <v>13</v>
      </c>
      <c r="B227" t="s">
        <v>14</v>
      </c>
      <c r="C227" t="s">
        <v>12</v>
      </c>
      <c r="D227">
        <v>32</v>
      </c>
      <c r="E227" t="s">
        <v>23</v>
      </c>
      <c r="F227">
        <v>7</v>
      </c>
      <c r="G227">
        <v>2023</v>
      </c>
      <c r="H227">
        <v>16</v>
      </c>
      <c r="I227">
        <v>504</v>
      </c>
      <c r="J227">
        <v>30</v>
      </c>
      <c r="K227">
        <v>36</v>
      </c>
      <c r="L227" s="1">
        <f>DATE(sales__2[[#This Row],[year]],sales__2[[#This Row],[month]],1)</f>
        <v>45108</v>
      </c>
    </row>
    <row r="228" spans="1:12" x14ac:dyDescent="0.2">
      <c r="A228" t="s">
        <v>15</v>
      </c>
      <c r="B228" t="s">
        <v>16</v>
      </c>
      <c r="C228" t="s">
        <v>12</v>
      </c>
      <c r="D228">
        <v>18</v>
      </c>
      <c r="E228" t="s">
        <v>23</v>
      </c>
      <c r="F228">
        <v>7</v>
      </c>
      <c r="G228">
        <v>2023</v>
      </c>
      <c r="H228">
        <v>26</v>
      </c>
      <c r="I228">
        <v>500</v>
      </c>
      <c r="J228">
        <v>50</v>
      </c>
      <c r="K228">
        <v>20</v>
      </c>
      <c r="L228" s="1">
        <f>DATE(sales__2[[#This Row],[year]],sales__2[[#This Row],[month]],1)</f>
        <v>45108</v>
      </c>
    </row>
    <row r="229" spans="1:12" x14ac:dyDescent="0.2">
      <c r="A229" t="s">
        <v>15</v>
      </c>
      <c r="B229" t="s">
        <v>16</v>
      </c>
      <c r="C229" t="s">
        <v>12</v>
      </c>
      <c r="D229">
        <v>18</v>
      </c>
      <c r="E229" t="s">
        <v>25</v>
      </c>
      <c r="F229">
        <v>7</v>
      </c>
      <c r="G229">
        <v>2023</v>
      </c>
      <c r="H229">
        <v>30</v>
      </c>
      <c r="I229">
        <v>560</v>
      </c>
      <c r="J229">
        <v>55</v>
      </c>
      <c r="K229">
        <v>20</v>
      </c>
      <c r="L229" s="1">
        <f>DATE(sales__2[[#This Row],[year]],sales__2[[#This Row],[month]],1)</f>
        <v>45108</v>
      </c>
    </row>
    <row r="230" spans="1:12" x14ac:dyDescent="0.2">
      <c r="A230" t="s">
        <v>19</v>
      </c>
      <c r="B230" t="s">
        <v>16</v>
      </c>
      <c r="C230" t="s">
        <v>12</v>
      </c>
      <c r="D230">
        <v>15</v>
      </c>
      <c r="E230" t="s">
        <v>23</v>
      </c>
      <c r="F230">
        <v>7</v>
      </c>
      <c r="G230">
        <v>2023</v>
      </c>
      <c r="H230">
        <v>30</v>
      </c>
      <c r="I230">
        <v>510</v>
      </c>
      <c r="J230">
        <v>60</v>
      </c>
      <c r="K230">
        <v>17</v>
      </c>
      <c r="L230" s="1">
        <f>DATE(sales__2[[#This Row],[year]],sales__2[[#This Row],[month]],1)</f>
        <v>45108</v>
      </c>
    </row>
    <row r="231" spans="1:12" x14ac:dyDescent="0.2">
      <c r="A231" t="s">
        <v>19</v>
      </c>
      <c r="B231" t="s">
        <v>16</v>
      </c>
      <c r="C231" t="s">
        <v>12</v>
      </c>
      <c r="D231">
        <v>15</v>
      </c>
      <c r="E231" t="s">
        <v>25</v>
      </c>
      <c r="F231">
        <v>7</v>
      </c>
      <c r="G231">
        <v>2023</v>
      </c>
      <c r="H231">
        <v>28</v>
      </c>
      <c r="I231">
        <v>476</v>
      </c>
      <c r="J231">
        <v>55</v>
      </c>
      <c r="K231">
        <v>17</v>
      </c>
      <c r="L231" s="1">
        <f>DATE(sales__2[[#This Row],[year]],sales__2[[#This Row],[month]],1)</f>
        <v>45108</v>
      </c>
    </row>
    <row r="232" spans="1:12" x14ac:dyDescent="0.2">
      <c r="A232" t="s">
        <v>19</v>
      </c>
      <c r="B232" t="s">
        <v>16</v>
      </c>
      <c r="C232" t="s">
        <v>12</v>
      </c>
      <c r="D232">
        <v>15</v>
      </c>
      <c r="E232" t="s">
        <v>27</v>
      </c>
      <c r="F232">
        <v>7</v>
      </c>
      <c r="G232">
        <v>2023</v>
      </c>
      <c r="H232">
        <v>25</v>
      </c>
      <c r="I232">
        <v>425</v>
      </c>
      <c r="J232">
        <v>50</v>
      </c>
      <c r="K232">
        <v>17</v>
      </c>
      <c r="L232" s="1">
        <f>DATE(sales__2[[#This Row],[year]],sales__2[[#This Row],[month]],1)</f>
        <v>45108</v>
      </c>
    </row>
    <row r="233" spans="1:12" x14ac:dyDescent="0.2">
      <c r="A233" t="s">
        <v>10</v>
      </c>
      <c r="B233" t="s">
        <v>11</v>
      </c>
      <c r="C233" t="s">
        <v>12</v>
      </c>
      <c r="D233">
        <v>30</v>
      </c>
      <c r="E233" t="s">
        <v>23</v>
      </c>
      <c r="F233">
        <v>7</v>
      </c>
      <c r="G233">
        <v>2023</v>
      </c>
      <c r="H233">
        <v>19</v>
      </c>
      <c r="I233">
        <v>627</v>
      </c>
      <c r="J233">
        <v>40</v>
      </c>
      <c r="K233">
        <v>33</v>
      </c>
      <c r="L233" s="1">
        <f>DATE(sales__2[[#This Row],[year]],sales__2[[#This Row],[month]],1)</f>
        <v>45108</v>
      </c>
    </row>
    <row r="234" spans="1:12" x14ac:dyDescent="0.2">
      <c r="A234" t="s">
        <v>13</v>
      </c>
      <c r="B234" t="s">
        <v>14</v>
      </c>
      <c r="C234" t="s">
        <v>20</v>
      </c>
      <c r="D234">
        <v>35</v>
      </c>
      <c r="E234" t="s">
        <v>23</v>
      </c>
      <c r="F234">
        <v>7</v>
      </c>
      <c r="G234">
        <v>2023</v>
      </c>
      <c r="H234">
        <v>10</v>
      </c>
      <c r="I234">
        <v>390</v>
      </c>
      <c r="J234">
        <v>22</v>
      </c>
      <c r="K234">
        <v>39</v>
      </c>
      <c r="L234" s="1">
        <f>DATE(sales__2[[#This Row],[year]],sales__2[[#This Row],[month]],1)</f>
        <v>45108</v>
      </c>
    </row>
    <row r="235" spans="1:12" x14ac:dyDescent="0.2">
      <c r="A235" t="s">
        <v>15</v>
      </c>
      <c r="B235" t="s">
        <v>16</v>
      </c>
      <c r="C235" t="s">
        <v>20</v>
      </c>
      <c r="D235">
        <v>20</v>
      </c>
      <c r="E235" t="s">
        <v>23</v>
      </c>
      <c r="F235">
        <v>7</v>
      </c>
      <c r="G235">
        <v>2023</v>
      </c>
      <c r="H235">
        <v>22</v>
      </c>
      <c r="I235">
        <v>484</v>
      </c>
      <c r="J235">
        <v>45</v>
      </c>
      <c r="K235">
        <v>22</v>
      </c>
      <c r="L235" s="1">
        <f>DATE(sales__2[[#This Row],[year]],sales__2[[#This Row],[month]],1)</f>
        <v>45108</v>
      </c>
    </row>
    <row r="236" spans="1:12" x14ac:dyDescent="0.2">
      <c r="A236" t="s">
        <v>19</v>
      </c>
      <c r="B236" t="s">
        <v>16</v>
      </c>
      <c r="C236" t="s">
        <v>20</v>
      </c>
      <c r="D236">
        <v>17</v>
      </c>
      <c r="E236" t="s">
        <v>23</v>
      </c>
      <c r="F236">
        <v>7</v>
      </c>
      <c r="G236">
        <v>2023</v>
      </c>
      <c r="H236">
        <v>26</v>
      </c>
      <c r="I236">
        <v>494</v>
      </c>
      <c r="J236">
        <v>50</v>
      </c>
      <c r="K236">
        <v>19</v>
      </c>
      <c r="L236" s="1">
        <f>DATE(sales__2[[#This Row],[year]],sales__2[[#This Row],[month]],1)</f>
        <v>45108</v>
      </c>
    </row>
    <row r="237" spans="1:12" x14ac:dyDescent="0.2">
      <c r="A237" t="s">
        <v>21</v>
      </c>
      <c r="B237" t="s">
        <v>11</v>
      </c>
      <c r="C237" t="s">
        <v>20</v>
      </c>
      <c r="D237">
        <v>33</v>
      </c>
      <c r="E237" t="s">
        <v>23</v>
      </c>
      <c r="F237">
        <v>7</v>
      </c>
      <c r="G237">
        <v>2023</v>
      </c>
      <c r="H237">
        <v>14</v>
      </c>
      <c r="I237">
        <v>532</v>
      </c>
      <c r="J237">
        <v>30</v>
      </c>
      <c r="K237">
        <v>38</v>
      </c>
      <c r="L237" s="1">
        <f>DATE(sales__2[[#This Row],[year]],sales__2[[#This Row],[month]],1)</f>
        <v>45108</v>
      </c>
    </row>
    <row r="238" spans="1:12" x14ac:dyDescent="0.2">
      <c r="A238" t="s">
        <v>10</v>
      </c>
      <c r="B238" t="s">
        <v>11</v>
      </c>
      <c r="C238" t="s">
        <v>12</v>
      </c>
      <c r="D238">
        <v>28</v>
      </c>
      <c r="E238" t="s">
        <v>23</v>
      </c>
      <c r="F238">
        <v>8</v>
      </c>
      <c r="G238">
        <v>2023</v>
      </c>
      <c r="H238">
        <v>18</v>
      </c>
      <c r="I238">
        <v>576</v>
      </c>
      <c r="J238">
        <v>40</v>
      </c>
      <c r="K238">
        <v>32</v>
      </c>
      <c r="L238" s="1">
        <f>DATE(sales__2[[#This Row],[year]],sales__2[[#This Row],[month]],1)</f>
        <v>45139</v>
      </c>
    </row>
    <row r="239" spans="1:12" x14ac:dyDescent="0.2">
      <c r="A239" t="s">
        <v>10</v>
      </c>
      <c r="B239" t="s">
        <v>11</v>
      </c>
      <c r="C239" t="s">
        <v>12</v>
      </c>
      <c r="D239">
        <v>28</v>
      </c>
      <c r="E239" t="s">
        <v>25</v>
      </c>
      <c r="F239">
        <v>8</v>
      </c>
      <c r="G239">
        <v>2023</v>
      </c>
      <c r="H239">
        <v>14</v>
      </c>
      <c r="I239">
        <v>448</v>
      </c>
      <c r="J239">
        <v>30</v>
      </c>
      <c r="K239">
        <v>32</v>
      </c>
      <c r="L239" s="1">
        <f>DATE(sales__2[[#This Row],[year]],sales__2[[#This Row],[month]],1)</f>
        <v>45139</v>
      </c>
    </row>
    <row r="240" spans="1:12" x14ac:dyDescent="0.2">
      <c r="A240" t="s">
        <v>13</v>
      </c>
      <c r="B240" t="s">
        <v>14</v>
      </c>
      <c r="C240" t="s">
        <v>12</v>
      </c>
      <c r="D240">
        <v>32</v>
      </c>
      <c r="E240" t="s">
        <v>23</v>
      </c>
      <c r="F240">
        <v>8</v>
      </c>
      <c r="G240">
        <v>2023</v>
      </c>
      <c r="H240">
        <v>13</v>
      </c>
      <c r="I240">
        <v>468</v>
      </c>
      <c r="J240">
        <v>30</v>
      </c>
      <c r="K240">
        <v>36</v>
      </c>
      <c r="L240" s="1">
        <f>DATE(sales__2[[#This Row],[year]],sales__2[[#This Row],[month]],1)</f>
        <v>45139</v>
      </c>
    </row>
    <row r="241" spans="1:12" x14ac:dyDescent="0.2">
      <c r="A241" t="s">
        <v>15</v>
      </c>
      <c r="B241" t="s">
        <v>16</v>
      </c>
      <c r="C241" t="s">
        <v>12</v>
      </c>
      <c r="D241">
        <v>18</v>
      </c>
      <c r="E241" t="s">
        <v>23</v>
      </c>
      <c r="F241">
        <v>8</v>
      </c>
      <c r="G241">
        <v>2023</v>
      </c>
      <c r="H241">
        <v>23</v>
      </c>
      <c r="I241">
        <v>460</v>
      </c>
      <c r="J241">
        <v>45</v>
      </c>
      <c r="K241">
        <v>20</v>
      </c>
      <c r="L241" s="1">
        <f>DATE(sales__2[[#This Row],[year]],sales__2[[#This Row],[month]],1)</f>
        <v>45139</v>
      </c>
    </row>
    <row r="242" spans="1:12" x14ac:dyDescent="0.2">
      <c r="A242" t="s">
        <v>15</v>
      </c>
      <c r="B242" t="s">
        <v>16</v>
      </c>
      <c r="C242" t="s">
        <v>12</v>
      </c>
      <c r="D242">
        <v>18</v>
      </c>
      <c r="E242" t="s">
        <v>25</v>
      </c>
      <c r="F242">
        <v>8</v>
      </c>
      <c r="G242">
        <v>2023</v>
      </c>
      <c r="H242">
        <v>25</v>
      </c>
      <c r="I242">
        <v>500</v>
      </c>
      <c r="J242">
        <v>50</v>
      </c>
      <c r="K242">
        <v>20</v>
      </c>
      <c r="L242" s="1">
        <f>DATE(sales__2[[#This Row],[year]],sales__2[[#This Row],[month]],1)</f>
        <v>45139</v>
      </c>
    </row>
    <row r="243" spans="1:12" x14ac:dyDescent="0.2">
      <c r="A243" t="s">
        <v>19</v>
      </c>
      <c r="B243" t="s">
        <v>16</v>
      </c>
      <c r="C243" t="s">
        <v>12</v>
      </c>
      <c r="D243">
        <v>15</v>
      </c>
      <c r="E243" t="s">
        <v>23</v>
      </c>
      <c r="F243">
        <v>8</v>
      </c>
      <c r="G243">
        <v>2023</v>
      </c>
      <c r="H243">
        <v>27</v>
      </c>
      <c r="I243">
        <v>459</v>
      </c>
      <c r="J243">
        <v>55</v>
      </c>
      <c r="K243">
        <v>17</v>
      </c>
      <c r="L243" s="1">
        <f>DATE(sales__2[[#This Row],[year]],sales__2[[#This Row],[month]],1)</f>
        <v>45139</v>
      </c>
    </row>
    <row r="244" spans="1:12" x14ac:dyDescent="0.2">
      <c r="A244" t="s">
        <v>19</v>
      </c>
      <c r="B244" t="s">
        <v>16</v>
      </c>
      <c r="C244" t="s">
        <v>12</v>
      </c>
      <c r="D244">
        <v>15</v>
      </c>
      <c r="E244" t="s">
        <v>25</v>
      </c>
      <c r="F244">
        <v>8</v>
      </c>
      <c r="G244">
        <v>2023</v>
      </c>
      <c r="H244">
        <v>25</v>
      </c>
      <c r="I244">
        <v>425</v>
      </c>
      <c r="J244">
        <v>50</v>
      </c>
      <c r="K244">
        <v>17</v>
      </c>
      <c r="L244" s="1">
        <f>DATE(sales__2[[#This Row],[year]],sales__2[[#This Row],[month]],1)</f>
        <v>45139</v>
      </c>
    </row>
    <row r="245" spans="1:12" x14ac:dyDescent="0.2">
      <c r="A245" t="s">
        <v>10</v>
      </c>
      <c r="B245" t="s">
        <v>11</v>
      </c>
      <c r="C245" t="s">
        <v>12</v>
      </c>
      <c r="D245">
        <v>30</v>
      </c>
      <c r="E245" t="s">
        <v>23</v>
      </c>
      <c r="F245">
        <v>8</v>
      </c>
      <c r="G245">
        <v>2023</v>
      </c>
      <c r="H245">
        <v>17</v>
      </c>
      <c r="I245">
        <v>561</v>
      </c>
      <c r="J245">
        <v>35</v>
      </c>
      <c r="K245">
        <v>33</v>
      </c>
      <c r="L245" s="1">
        <f>DATE(sales__2[[#This Row],[year]],sales__2[[#This Row],[month]],1)</f>
        <v>45139</v>
      </c>
    </row>
    <row r="246" spans="1:12" x14ac:dyDescent="0.2">
      <c r="A246" t="s">
        <v>13</v>
      </c>
      <c r="B246" t="s">
        <v>14</v>
      </c>
      <c r="C246" t="s">
        <v>20</v>
      </c>
      <c r="D246">
        <v>35</v>
      </c>
      <c r="E246" t="s">
        <v>23</v>
      </c>
      <c r="F246">
        <v>8</v>
      </c>
      <c r="G246">
        <v>2023</v>
      </c>
      <c r="H246">
        <v>9</v>
      </c>
      <c r="I246">
        <v>351</v>
      </c>
      <c r="J246">
        <v>20</v>
      </c>
      <c r="K246">
        <v>39</v>
      </c>
      <c r="L246" s="1">
        <f>DATE(sales__2[[#This Row],[year]],sales__2[[#This Row],[month]],1)</f>
        <v>45139</v>
      </c>
    </row>
    <row r="247" spans="1:12" x14ac:dyDescent="0.2">
      <c r="A247" t="s">
        <v>15</v>
      </c>
      <c r="B247" t="s">
        <v>16</v>
      </c>
      <c r="C247" t="s">
        <v>20</v>
      </c>
      <c r="D247">
        <v>20</v>
      </c>
      <c r="E247" t="s">
        <v>23</v>
      </c>
      <c r="F247">
        <v>8</v>
      </c>
      <c r="G247">
        <v>2023</v>
      </c>
      <c r="H247">
        <v>24</v>
      </c>
      <c r="I247">
        <v>440</v>
      </c>
      <c r="J247">
        <v>40</v>
      </c>
      <c r="K247">
        <v>22</v>
      </c>
      <c r="L247" s="1">
        <f>DATE(sales__2[[#This Row],[year]],sales__2[[#This Row],[month]],1)</f>
        <v>45139</v>
      </c>
    </row>
    <row r="248" spans="1:12" x14ac:dyDescent="0.2">
      <c r="A248" t="s">
        <v>19</v>
      </c>
      <c r="B248" t="s">
        <v>16</v>
      </c>
      <c r="C248" t="s">
        <v>20</v>
      </c>
      <c r="D248">
        <v>17</v>
      </c>
      <c r="E248" t="s">
        <v>23</v>
      </c>
      <c r="F248">
        <v>8</v>
      </c>
      <c r="G248">
        <v>2023</v>
      </c>
      <c r="H248">
        <v>24</v>
      </c>
      <c r="I248">
        <v>456</v>
      </c>
      <c r="J248">
        <v>45</v>
      </c>
      <c r="K248">
        <v>19</v>
      </c>
      <c r="L248" s="1">
        <f>DATE(sales__2[[#This Row],[year]],sales__2[[#This Row],[month]],1)</f>
        <v>45139</v>
      </c>
    </row>
    <row r="249" spans="1:12" x14ac:dyDescent="0.2">
      <c r="A249" t="s">
        <v>21</v>
      </c>
      <c r="B249" t="s">
        <v>11</v>
      </c>
      <c r="C249" t="s">
        <v>20</v>
      </c>
      <c r="D249">
        <v>33</v>
      </c>
      <c r="E249" t="s">
        <v>23</v>
      </c>
      <c r="F249">
        <v>8</v>
      </c>
      <c r="G249">
        <v>2023</v>
      </c>
      <c r="H249">
        <v>12</v>
      </c>
      <c r="I249">
        <v>494</v>
      </c>
      <c r="J249">
        <v>30</v>
      </c>
      <c r="K249">
        <v>38</v>
      </c>
      <c r="L249" s="1">
        <f>DATE(sales__2[[#This Row],[year]],sales__2[[#This Row],[month]],1)</f>
        <v>45139</v>
      </c>
    </row>
    <row r="250" spans="1:12" x14ac:dyDescent="0.2">
      <c r="A250" t="s">
        <v>10</v>
      </c>
      <c r="B250" t="s">
        <v>11</v>
      </c>
      <c r="C250" t="s">
        <v>12</v>
      </c>
      <c r="D250">
        <v>28</v>
      </c>
      <c r="E250" t="s">
        <v>23</v>
      </c>
      <c r="F250">
        <v>9</v>
      </c>
      <c r="G250">
        <v>2023</v>
      </c>
      <c r="H250">
        <v>15</v>
      </c>
      <c r="I250">
        <v>480</v>
      </c>
      <c r="J250">
        <v>35</v>
      </c>
      <c r="K250">
        <v>32</v>
      </c>
      <c r="L250" s="1">
        <f>DATE(sales__2[[#This Row],[year]],sales__2[[#This Row],[month]],1)</f>
        <v>45170</v>
      </c>
    </row>
    <row r="251" spans="1:12" x14ac:dyDescent="0.2">
      <c r="A251" t="s">
        <v>10</v>
      </c>
      <c r="B251" t="s">
        <v>11</v>
      </c>
      <c r="C251" t="s">
        <v>12</v>
      </c>
      <c r="D251">
        <v>28</v>
      </c>
      <c r="E251" t="s">
        <v>25</v>
      </c>
      <c r="F251">
        <v>9</v>
      </c>
      <c r="G251">
        <v>2023</v>
      </c>
      <c r="H251">
        <v>12</v>
      </c>
      <c r="I251">
        <v>384</v>
      </c>
      <c r="J251">
        <v>25</v>
      </c>
      <c r="K251">
        <v>32</v>
      </c>
      <c r="L251" s="1">
        <f>DATE(sales__2[[#This Row],[year]],sales__2[[#This Row],[month]],1)</f>
        <v>45170</v>
      </c>
    </row>
    <row r="252" spans="1:12" x14ac:dyDescent="0.2">
      <c r="A252" t="s">
        <v>13</v>
      </c>
      <c r="B252" t="s">
        <v>14</v>
      </c>
      <c r="C252" t="s">
        <v>12</v>
      </c>
      <c r="D252">
        <v>32</v>
      </c>
      <c r="E252" t="s">
        <v>23</v>
      </c>
      <c r="F252">
        <v>9</v>
      </c>
      <c r="G252">
        <v>2023</v>
      </c>
      <c r="H252">
        <v>11</v>
      </c>
      <c r="I252">
        <v>396</v>
      </c>
      <c r="J252">
        <v>25</v>
      </c>
      <c r="K252">
        <v>36</v>
      </c>
      <c r="L252" s="1">
        <f>DATE(sales__2[[#This Row],[year]],sales__2[[#This Row],[month]],1)</f>
        <v>45170</v>
      </c>
    </row>
    <row r="253" spans="1:12" x14ac:dyDescent="0.2">
      <c r="A253" t="s">
        <v>15</v>
      </c>
      <c r="B253" t="s">
        <v>16</v>
      </c>
      <c r="C253" t="s">
        <v>12</v>
      </c>
      <c r="D253">
        <v>18</v>
      </c>
      <c r="E253" t="s">
        <v>23</v>
      </c>
      <c r="F253">
        <v>9</v>
      </c>
      <c r="G253">
        <v>2023</v>
      </c>
      <c r="H253">
        <v>20</v>
      </c>
      <c r="I253">
        <v>400</v>
      </c>
      <c r="J253">
        <v>40</v>
      </c>
      <c r="K253">
        <v>20</v>
      </c>
      <c r="L253" s="1">
        <f>DATE(sales__2[[#This Row],[year]],sales__2[[#This Row],[month]],1)</f>
        <v>45170</v>
      </c>
    </row>
    <row r="254" spans="1:12" x14ac:dyDescent="0.2">
      <c r="A254" t="s">
        <v>15</v>
      </c>
      <c r="B254" t="s">
        <v>16</v>
      </c>
      <c r="C254" t="s">
        <v>12</v>
      </c>
      <c r="D254">
        <v>18</v>
      </c>
      <c r="E254" t="s">
        <v>25</v>
      </c>
      <c r="F254">
        <v>9</v>
      </c>
      <c r="G254">
        <v>2023</v>
      </c>
      <c r="H254">
        <v>21</v>
      </c>
      <c r="I254">
        <v>440</v>
      </c>
      <c r="J254">
        <v>45</v>
      </c>
      <c r="K254">
        <v>20</v>
      </c>
      <c r="L254" s="1">
        <f>DATE(sales__2[[#This Row],[year]],sales__2[[#This Row],[month]],1)</f>
        <v>45170</v>
      </c>
    </row>
    <row r="255" spans="1:12" x14ac:dyDescent="0.2">
      <c r="A255" t="s">
        <v>19</v>
      </c>
      <c r="B255" t="s">
        <v>16</v>
      </c>
      <c r="C255" t="s">
        <v>12</v>
      </c>
      <c r="D255">
        <v>15</v>
      </c>
      <c r="E255" t="s">
        <v>23</v>
      </c>
      <c r="F255">
        <v>9</v>
      </c>
      <c r="G255">
        <v>2023</v>
      </c>
      <c r="H255">
        <v>25</v>
      </c>
      <c r="I255">
        <v>425</v>
      </c>
      <c r="J255">
        <v>50</v>
      </c>
      <c r="K255">
        <v>17</v>
      </c>
      <c r="L255" s="1">
        <f>DATE(sales__2[[#This Row],[year]],sales__2[[#This Row],[month]],1)</f>
        <v>45170</v>
      </c>
    </row>
    <row r="256" spans="1:12" x14ac:dyDescent="0.2">
      <c r="A256" t="s">
        <v>19</v>
      </c>
      <c r="B256" t="s">
        <v>16</v>
      </c>
      <c r="C256" t="s">
        <v>12</v>
      </c>
      <c r="D256">
        <v>15</v>
      </c>
      <c r="E256" t="s">
        <v>25</v>
      </c>
      <c r="F256">
        <v>9</v>
      </c>
      <c r="G256">
        <v>2023</v>
      </c>
      <c r="H256">
        <v>22</v>
      </c>
      <c r="I256">
        <v>374</v>
      </c>
      <c r="J256">
        <v>45</v>
      </c>
      <c r="K256">
        <v>17</v>
      </c>
      <c r="L256" s="1">
        <f>DATE(sales__2[[#This Row],[year]],sales__2[[#This Row],[month]],1)</f>
        <v>45170</v>
      </c>
    </row>
    <row r="257" spans="1:12" x14ac:dyDescent="0.2">
      <c r="A257" t="s">
        <v>10</v>
      </c>
      <c r="B257" t="s">
        <v>11</v>
      </c>
      <c r="C257" t="s">
        <v>12</v>
      </c>
      <c r="D257">
        <v>30</v>
      </c>
      <c r="E257" t="s">
        <v>23</v>
      </c>
      <c r="F257">
        <v>9</v>
      </c>
      <c r="G257">
        <v>2023</v>
      </c>
      <c r="H257">
        <v>14</v>
      </c>
      <c r="I257">
        <v>462</v>
      </c>
      <c r="J257">
        <v>30</v>
      </c>
      <c r="K257">
        <v>33</v>
      </c>
      <c r="L257" s="1">
        <f>DATE(sales__2[[#This Row],[year]],sales__2[[#This Row],[month]],1)</f>
        <v>45170</v>
      </c>
    </row>
    <row r="258" spans="1:12" x14ac:dyDescent="0.2">
      <c r="A258" t="s">
        <v>13</v>
      </c>
      <c r="B258" t="s">
        <v>14</v>
      </c>
      <c r="C258" t="s">
        <v>20</v>
      </c>
      <c r="D258">
        <v>35</v>
      </c>
      <c r="E258" t="s">
        <v>23</v>
      </c>
      <c r="F258">
        <v>9</v>
      </c>
      <c r="G258">
        <v>2023</v>
      </c>
      <c r="H258">
        <v>8</v>
      </c>
      <c r="I258">
        <v>312</v>
      </c>
      <c r="J258">
        <v>20</v>
      </c>
      <c r="K258">
        <v>39</v>
      </c>
      <c r="L258" s="1">
        <f>DATE(sales__2[[#This Row],[year]],sales__2[[#This Row],[month]],1)</f>
        <v>45170</v>
      </c>
    </row>
    <row r="259" spans="1:12" x14ac:dyDescent="0.2">
      <c r="A259" t="s">
        <v>15</v>
      </c>
      <c r="B259" t="s">
        <v>16</v>
      </c>
      <c r="C259" t="s">
        <v>20</v>
      </c>
      <c r="D259">
        <v>20</v>
      </c>
      <c r="E259" t="s">
        <v>23</v>
      </c>
      <c r="F259">
        <v>9</v>
      </c>
      <c r="G259">
        <v>2023</v>
      </c>
      <c r="H259">
        <v>18</v>
      </c>
      <c r="I259">
        <v>396</v>
      </c>
      <c r="J259">
        <v>35</v>
      </c>
      <c r="K259">
        <v>22</v>
      </c>
      <c r="L259" s="1">
        <f>DATE(sales__2[[#This Row],[year]],sales__2[[#This Row],[month]],1)</f>
        <v>45170</v>
      </c>
    </row>
    <row r="260" spans="1:12" x14ac:dyDescent="0.2">
      <c r="A260" t="s">
        <v>19</v>
      </c>
      <c r="B260" t="s">
        <v>16</v>
      </c>
      <c r="C260" t="s">
        <v>20</v>
      </c>
      <c r="D260">
        <v>17</v>
      </c>
      <c r="E260" t="s">
        <v>23</v>
      </c>
      <c r="F260">
        <v>9</v>
      </c>
      <c r="G260">
        <v>2023</v>
      </c>
      <c r="H260">
        <v>21</v>
      </c>
      <c r="I260">
        <v>399</v>
      </c>
      <c r="J260">
        <v>40</v>
      </c>
      <c r="K260">
        <v>19</v>
      </c>
      <c r="L260" s="1">
        <f>DATE(sales__2[[#This Row],[year]],sales__2[[#This Row],[month]],1)</f>
        <v>45170</v>
      </c>
    </row>
    <row r="261" spans="1:12" x14ac:dyDescent="0.2">
      <c r="A261" t="s">
        <v>21</v>
      </c>
      <c r="B261" t="s">
        <v>11</v>
      </c>
      <c r="C261" t="s">
        <v>20</v>
      </c>
      <c r="D261">
        <v>33</v>
      </c>
      <c r="E261" t="s">
        <v>23</v>
      </c>
      <c r="F261">
        <v>9</v>
      </c>
      <c r="G261">
        <v>2023</v>
      </c>
      <c r="H261">
        <v>11</v>
      </c>
      <c r="I261">
        <v>418</v>
      </c>
      <c r="J261">
        <v>25</v>
      </c>
      <c r="K261">
        <v>38</v>
      </c>
      <c r="L261" s="1">
        <f>DATE(sales__2[[#This Row],[year]],sales__2[[#This Row],[month]],1)</f>
        <v>45170</v>
      </c>
    </row>
    <row r="262" spans="1:12" x14ac:dyDescent="0.2">
      <c r="A262" t="s">
        <v>10</v>
      </c>
      <c r="B262" t="s">
        <v>11</v>
      </c>
      <c r="C262" t="s">
        <v>12</v>
      </c>
      <c r="D262">
        <v>28</v>
      </c>
      <c r="E262" t="s">
        <v>23</v>
      </c>
      <c r="F262">
        <v>10</v>
      </c>
      <c r="G262">
        <v>2023</v>
      </c>
      <c r="H262">
        <v>13</v>
      </c>
      <c r="I262">
        <v>416</v>
      </c>
      <c r="J262">
        <v>30</v>
      </c>
      <c r="K262">
        <v>32</v>
      </c>
      <c r="L262" s="1">
        <f>DATE(sales__2[[#This Row],[year]],sales__2[[#This Row],[month]],1)</f>
        <v>45200</v>
      </c>
    </row>
    <row r="263" spans="1:12" x14ac:dyDescent="0.2">
      <c r="A263" t="s">
        <v>10</v>
      </c>
      <c r="B263" t="s">
        <v>11</v>
      </c>
      <c r="C263" t="s">
        <v>12</v>
      </c>
      <c r="D263">
        <v>28</v>
      </c>
      <c r="E263" t="s">
        <v>25</v>
      </c>
      <c r="F263">
        <v>10</v>
      </c>
      <c r="G263">
        <v>2023</v>
      </c>
      <c r="H263">
        <v>10</v>
      </c>
      <c r="I263">
        <v>320</v>
      </c>
      <c r="J263">
        <v>20</v>
      </c>
      <c r="K263">
        <v>32</v>
      </c>
      <c r="L263" s="1">
        <f>DATE(sales__2[[#This Row],[year]],sales__2[[#This Row],[month]],1)</f>
        <v>45200</v>
      </c>
    </row>
    <row r="264" spans="1:12" x14ac:dyDescent="0.2">
      <c r="A264" t="s">
        <v>13</v>
      </c>
      <c r="B264" t="s">
        <v>14</v>
      </c>
      <c r="C264" t="s">
        <v>12</v>
      </c>
      <c r="D264">
        <v>32</v>
      </c>
      <c r="E264" t="s">
        <v>23</v>
      </c>
      <c r="F264">
        <v>10</v>
      </c>
      <c r="G264">
        <v>2023</v>
      </c>
      <c r="H264">
        <v>9</v>
      </c>
      <c r="I264">
        <v>360</v>
      </c>
      <c r="J264">
        <v>22</v>
      </c>
      <c r="K264">
        <v>36</v>
      </c>
      <c r="L264" s="1">
        <f>DATE(sales__2[[#This Row],[year]],sales__2[[#This Row],[month]],1)</f>
        <v>45200</v>
      </c>
    </row>
    <row r="265" spans="1:12" x14ac:dyDescent="0.2">
      <c r="A265" t="s">
        <v>15</v>
      </c>
      <c r="B265" t="s">
        <v>16</v>
      </c>
      <c r="C265" t="s">
        <v>12</v>
      </c>
      <c r="D265">
        <v>18</v>
      </c>
      <c r="E265" t="s">
        <v>23</v>
      </c>
      <c r="F265">
        <v>10</v>
      </c>
      <c r="G265">
        <v>2023</v>
      </c>
      <c r="H265">
        <v>18</v>
      </c>
      <c r="I265">
        <v>360</v>
      </c>
      <c r="J265">
        <v>35</v>
      </c>
      <c r="K265">
        <v>20</v>
      </c>
      <c r="L265" s="1">
        <f>DATE(sales__2[[#This Row],[year]],sales__2[[#This Row],[month]],1)</f>
        <v>45200</v>
      </c>
    </row>
    <row r="266" spans="1:12" x14ac:dyDescent="0.2">
      <c r="A266" t="s">
        <v>17</v>
      </c>
      <c r="B266" t="s">
        <v>18</v>
      </c>
      <c r="C266" t="s">
        <v>12</v>
      </c>
      <c r="D266">
        <v>45</v>
      </c>
      <c r="E266" t="s">
        <v>23</v>
      </c>
      <c r="F266">
        <v>10</v>
      </c>
      <c r="G266">
        <v>2023</v>
      </c>
      <c r="H266">
        <v>5</v>
      </c>
      <c r="I266">
        <v>260</v>
      </c>
      <c r="J266">
        <v>12</v>
      </c>
      <c r="K266">
        <v>52</v>
      </c>
      <c r="L266" s="1">
        <f>DATE(sales__2[[#This Row],[year]],sales__2[[#This Row],[month]],1)</f>
        <v>45200</v>
      </c>
    </row>
    <row r="267" spans="1:12" x14ac:dyDescent="0.2">
      <c r="A267" t="s">
        <v>19</v>
      </c>
      <c r="B267" t="s">
        <v>16</v>
      </c>
      <c r="C267" t="s">
        <v>12</v>
      </c>
      <c r="D267">
        <v>15</v>
      </c>
      <c r="E267" t="s">
        <v>23</v>
      </c>
      <c r="F267">
        <v>10</v>
      </c>
      <c r="G267">
        <v>2023</v>
      </c>
      <c r="H267">
        <v>22</v>
      </c>
      <c r="I267">
        <v>374</v>
      </c>
      <c r="J267">
        <v>45</v>
      </c>
      <c r="K267">
        <v>17</v>
      </c>
      <c r="L267" s="1">
        <f>DATE(sales__2[[#This Row],[year]],sales__2[[#This Row],[month]],1)</f>
        <v>45200</v>
      </c>
    </row>
    <row r="268" spans="1:12" x14ac:dyDescent="0.2">
      <c r="A268" t="s">
        <v>19</v>
      </c>
      <c r="B268" t="s">
        <v>16</v>
      </c>
      <c r="C268" t="s">
        <v>12</v>
      </c>
      <c r="D268">
        <v>15</v>
      </c>
      <c r="E268" t="s">
        <v>25</v>
      </c>
      <c r="F268">
        <v>10</v>
      </c>
      <c r="G268">
        <v>2023</v>
      </c>
      <c r="H268">
        <v>21</v>
      </c>
      <c r="I268">
        <v>340</v>
      </c>
      <c r="J268">
        <v>40</v>
      </c>
      <c r="K268">
        <v>17</v>
      </c>
      <c r="L268" s="1">
        <f>DATE(sales__2[[#This Row],[year]],sales__2[[#This Row],[month]],1)</f>
        <v>45200</v>
      </c>
    </row>
    <row r="269" spans="1:12" x14ac:dyDescent="0.2">
      <c r="A269" t="s">
        <v>10</v>
      </c>
      <c r="B269" t="s">
        <v>11</v>
      </c>
      <c r="C269" t="s">
        <v>12</v>
      </c>
      <c r="D269">
        <v>30</v>
      </c>
      <c r="E269" t="s">
        <v>23</v>
      </c>
      <c r="F269">
        <v>10</v>
      </c>
      <c r="G269">
        <v>2023</v>
      </c>
      <c r="H269">
        <v>12</v>
      </c>
      <c r="I269">
        <v>396</v>
      </c>
      <c r="J269">
        <v>25</v>
      </c>
      <c r="K269">
        <v>33</v>
      </c>
      <c r="L269" s="1">
        <f>DATE(sales__2[[#This Row],[year]],sales__2[[#This Row],[month]],1)</f>
        <v>45200</v>
      </c>
    </row>
    <row r="270" spans="1:12" x14ac:dyDescent="0.2">
      <c r="A270" t="s">
        <v>13</v>
      </c>
      <c r="B270" t="s">
        <v>14</v>
      </c>
      <c r="C270" t="s">
        <v>20</v>
      </c>
      <c r="D270">
        <v>35</v>
      </c>
      <c r="E270" t="s">
        <v>23</v>
      </c>
      <c r="F270">
        <v>10</v>
      </c>
      <c r="G270">
        <v>2023</v>
      </c>
      <c r="H270">
        <v>7</v>
      </c>
      <c r="I270">
        <v>273</v>
      </c>
      <c r="J270">
        <v>18</v>
      </c>
      <c r="K270">
        <v>39</v>
      </c>
      <c r="L270" s="1">
        <f>DATE(sales__2[[#This Row],[year]],sales__2[[#This Row],[month]],1)</f>
        <v>45200</v>
      </c>
    </row>
    <row r="271" spans="1:12" x14ac:dyDescent="0.2">
      <c r="A271" t="s">
        <v>15</v>
      </c>
      <c r="B271" t="s">
        <v>16</v>
      </c>
      <c r="C271" t="s">
        <v>20</v>
      </c>
      <c r="D271">
        <v>20</v>
      </c>
      <c r="E271" t="s">
        <v>23</v>
      </c>
      <c r="F271">
        <v>10</v>
      </c>
      <c r="G271">
        <v>2023</v>
      </c>
      <c r="H271">
        <v>16</v>
      </c>
      <c r="I271">
        <v>352</v>
      </c>
      <c r="J271">
        <v>35</v>
      </c>
      <c r="K271">
        <v>22</v>
      </c>
      <c r="L271" s="1">
        <f>DATE(sales__2[[#This Row],[year]],sales__2[[#This Row],[month]],1)</f>
        <v>45200</v>
      </c>
    </row>
    <row r="272" spans="1:12" x14ac:dyDescent="0.2">
      <c r="A272" t="s">
        <v>17</v>
      </c>
      <c r="B272" t="s">
        <v>18</v>
      </c>
      <c r="C272" t="s">
        <v>20</v>
      </c>
      <c r="D272">
        <v>48</v>
      </c>
      <c r="E272" t="s">
        <v>23</v>
      </c>
      <c r="F272">
        <v>10</v>
      </c>
      <c r="G272">
        <v>2023</v>
      </c>
      <c r="H272">
        <v>4</v>
      </c>
      <c r="I272">
        <v>224</v>
      </c>
      <c r="J272">
        <v>10</v>
      </c>
      <c r="K272">
        <v>56</v>
      </c>
      <c r="L272" s="1">
        <f>DATE(sales__2[[#This Row],[year]],sales__2[[#This Row],[month]],1)</f>
        <v>45200</v>
      </c>
    </row>
    <row r="273" spans="1:12" x14ac:dyDescent="0.2">
      <c r="A273" t="s">
        <v>19</v>
      </c>
      <c r="B273" t="s">
        <v>16</v>
      </c>
      <c r="C273" t="s">
        <v>20</v>
      </c>
      <c r="D273">
        <v>17</v>
      </c>
      <c r="E273" t="s">
        <v>23</v>
      </c>
      <c r="F273">
        <v>10</v>
      </c>
      <c r="G273">
        <v>2023</v>
      </c>
      <c r="H273">
        <v>19</v>
      </c>
      <c r="I273">
        <v>361</v>
      </c>
      <c r="J273">
        <v>40</v>
      </c>
      <c r="K273">
        <v>19</v>
      </c>
      <c r="L273" s="1">
        <f>DATE(sales__2[[#This Row],[year]],sales__2[[#This Row],[month]],1)</f>
        <v>45200</v>
      </c>
    </row>
    <row r="274" spans="1:12" x14ac:dyDescent="0.2">
      <c r="A274" t="s">
        <v>21</v>
      </c>
      <c r="B274" t="s">
        <v>11</v>
      </c>
      <c r="C274" t="s">
        <v>20</v>
      </c>
      <c r="D274">
        <v>33</v>
      </c>
      <c r="E274" t="s">
        <v>23</v>
      </c>
      <c r="F274">
        <v>10</v>
      </c>
      <c r="G274">
        <v>2023</v>
      </c>
      <c r="H274">
        <v>10</v>
      </c>
      <c r="I274">
        <v>380</v>
      </c>
      <c r="J274">
        <v>22</v>
      </c>
      <c r="K274">
        <v>38</v>
      </c>
      <c r="L274" s="1">
        <f>DATE(sales__2[[#This Row],[year]],sales__2[[#This Row],[month]],1)</f>
        <v>45200</v>
      </c>
    </row>
    <row r="275" spans="1:12" x14ac:dyDescent="0.2">
      <c r="A275" t="s">
        <v>10</v>
      </c>
      <c r="B275" t="s">
        <v>11</v>
      </c>
      <c r="C275" t="s">
        <v>12</v>
      </c>
      <c r="D275">
        <v>28</v>
      </c>
      <c r="E275" t="s">
        <v>23</v>
      </c>
      <c r="F275">
        <v>11</v>
      </c>
      <c r="G275">
        <v>2023</v>
      </c>
      <c r="H275">
        <v>12</v>
      </c>
      <c r="I275">
        <v>384</v>
      </c>
      <c r="J275">
        <v>25</v>
      </c>
      <c r="K275">
        <v>32</v>
      </c>
      <c r="L275" s="1">
        <f>DATE(sales__2[[#This Row],[year]],sales__2[[#This Row],[month]],1)</f>
        <v>45231</v>
      </c>
    </row>
    <row r="276" spans="1:12" x14ac:dyDescent="0.2">
      <c r="A276" t="s">
        <v>10</v>
      </c>
      <c r="B276" t="s">
        <v>11</v>
      </c>
      <c r="C276" t="s">
        <v>12</v>
      </c>
      <c r="D276">
        <v>28</v>
      </c>
      <c r="E276" t="s">
        <v>27</v>
      </c>
      <c r="F276">
        <v>11</v>
      </c>
      <c r="G276">
        <v>2023</v>
      </c>
      <c r="H276">
        <v>9</v>
      </c>
      <c r="I276">
        <v>288</v>
      </c>
      <c r="J276">
        <v>20</v>
      </c>
      <c r="K276">
        <v>32</v>
      </c>
      <c r="L276" s="1">
        <f>DATE(sales__2[[#This Row],[year]],sales__2[[#This Row],[month]],1)</f>
        <v>45231</v>
      </c>
    </row>
    <row r="277" spans="1:12" x14ac:dyDescent="0.2">
      <c r="A277" t="s">
        <v>13</v>
      </c>
      <c r="B277" t="s">
        <v>14</v>
      </c>
      <c r="C277" t="s">
        <v>12</v>
      </c>
      <c r="D277">
        <v>32</v>
      </c>
      <c r="E277" t="s">
        <v>23</v>
      </c>
      <c r="F277">
        <v>11</v>
      </c>
      <c r="G277">
        <v>2023</v>
      </c>
      <c r="H277">
        <v>9</v>
      </c>
      <c r="I277">
        <v>324</v>
      </c>
      <c r="J277">
        <v>20</v>
      </c>
      <c r="K277">
        <v>36</v>
      </c>
      <c r="L277" s="1">
        <f>DATE(sales__2[[#This Row],[year]],sales__2[[#This Row],[month]],1)</f>
        <v>45231</v>
      </c>
    </row>
    <row r="278" spans="1:12" x14ac:dyDescent="0.2">
      <c r="A278" t="s">
        <v>15</v>
      </c>
      <c r="B278" t="s">
        <v>16</v>
      </c>
      <c r="C278" t="s">
        <v>12</v>
      </c>
      <c r="D278">
        <v>18</v>
      </c>
      <c r="E278" t="s">
        <v>23</v>
      </c>
      <c r="F278">
        <v>11</v>
      </c>
      <c r="G278">
        <v>2023</v>
      </c>
      <c r="H278">
        <v>20</v>
      </c>
      <c r="I278">
        <v>320</v>
      </c>
      <c r="J278">
        <v>35</v>
      </c>
      <c r="K278">
        <v>20</v>
      </c>
      <c r="L278" s="1">
        <f>DATE(sales__2[[#This Row],[year]],sales__2[[#This Row],[month]],1)</f>
        <v>45231</v>
      </c>
    </row>
    <row r="279" spans="1:12" x14ac:dyDescent="0.2">
      <c r="A279" t="s">
        <v>15</v>
      </c>
      <c r="B279" t="s">
        <v>16</v>
      </c>
      <c r="C279" t="s">
        <v>12</v>
      </c>
      <c r="D279">
        <v>18</v>
      </c>
      <c r="E279" t="s">
        <v>25</v>
      </c>
      <c r="F279">
        <v>11</v>
      </c>
      <c r="G279">
        <v>2023</v>
      </c>
      <c r="H279">
        <v>21</v>
      </c>
      <c r="I279">
        <v>400</v>
      </c>
      <c r="J279">
        <v>40</v>
      </c>
      <c r="K279">
        <v>20</v>
      </c>
      <c r="L279" s="1">
        <f>DATE(sales__2[[#This Row],[year]],sales__2[[#This Row],[month]],1)</f>
        <v>45231</v>
      </c>
    </row>
    <row r="280" spans="1:12" x14ac:dyDescent="0.2">
      <c r="A280" t="s">
        <v>19</v>
      </c>
      <c r="B280" t="s">
        <v>16</v>
      </c>
      <c r="C280" t="s">
        <v>12</v>
      </c>
      <c r="D280">
        <v>15</v>
      </c>
      <c r="E280" t="s">
        <v>23</v>
      </c>
      <c r="F280">
        <v>11</v>
      </c>
      <c r="G280">
        <v>2023</v>
      </c>
      <c r="H280">
        <v>22</v>
      </c>
      <c r="I280">
        <v>374</v>
      </c>
      <c r="J280">
        <v>45</v>
      </c>
      <c r="K280">
        <v>17</v>
      </c>
      <c r="L280" s="1">
        <f>DATE(sales__2[[#This Row],[year]],sales__2[[#This Row],[month]],1)</f>
        <v>45231</v>
      </c>
    </row>
    <row r="281" spans="1:12" x14ac:dyDescent="0.2">
      <c r="A281" t="s">
        <v>19</v>
      </c>
      <c r="B281" t="s">
        <v>16</v>
      </c>
      <c r="C281" t="s">
        <v>12</v>
      </c>
      <c r="D281">
        <v>15</v>
      </c>
      <c r="E281" t="s">
        <v>27</v>
      </c>
      <c r="F281">
        <v>11</v>
      </c>
      <c r="G281">
        <v>2023</v>
      </c>
      <c r="H281">
        <v>18</v>
      </c>
      <c r="I281">
        <v>306</v>
      </c>
      <c r="J281">
        <v>35</v>
      </c>
      <c r="K281">
        <v>17</v>
      </c>
      <c r="L281" s="1">
        <f>DATE(sales__2[[#This Row],[year]],sales__2[[#This Row],[month]],1)</f>
        <v>45231</v>
      </c>
    </row>
    <row r="282" spans="1:12" x14ac:dyDescent="0.2">
      <c r="A282" t="s">
        <v>10</v>
      </c>
      <c r="B282" t="s">
        <v>11</v>
      </c>
      <c r="C282" t="s">
        <v>12</v>
      </c>
      <c r="D282">
        <v>30</v>
      </c>
      <c r="E282" t="s">
        <v>23</v>
      </c>
      <c r="F282">
        <v>11</v>
      </c>
      <c r="G282">
        <v>2023</v>
      </c>
      <c r="H282">
        <v>12</v>
      </c>
      <c r="I282">
        <v>396</v>
      </c>
      <c r="J282">
        <v>25</v>
      </c>
      <c r="K282">
        <v>33</v>
      </c>
      <c r="L282" s="1">
        <f>DATE(sales__2[[#This Row],[year]],sales__2[[#This Row],[month]],1)</f>
        <v>45231</v>
      </c>
    </row>
    <row r="283" spans="1:12" x14ac:dyDescent="0.2">
      <c r="A283" t="s">
        <v>15</v>
      </c>
      <c r="B283" t="s">
        <v>16</v>
      </c>
      <c r="C283" t="s">
        <v>20</v>
      </c>
      <c r="D283">
        <v>20</v>
      </c>
      <c r="E283" t="s">
        <v>23</v>
      </c>
      <c r="F283">
        <v>11</v>
      </c>
      <c r="G283">
        <v>2023</v>
      </c>
      <c r="H283">
        <v>15</v>
      </c>
      <c r="I283">
        <v>330</v>
      </c>
      <c r="J283">
        <v>30</v>
      </c>
      <c r="K283">
        <v>22</v>
      </c>
      <c r="L283" s="1">
        <f>DATE(sales__2[[#This Row],[year]],sales__2[[#This Row],[month]],1)</f>
        <v>45231</v>
      </c>
    </row>
    <row r="284" spans="1:12" x14ac:dyDescent="0.2">
      <c r="A284" t="s">
        <v>19</v>
      </c>
      <c r="B284" t="s">
        <v>16</v>
      </c>
      <c r="C284" t="s">
        <v>20</v>
      </c>
      <c r="D284">
        <v>17</v>
      </c>
      <c r="E284" t="s">
        <v>23</v>
      </c>
      <c r="F284">
        <v>11</v>
      </c>
      <c r="G284">
        <v>2023</v>
      </c>
      <c r="H284">
        <v>17</v>
      </c>
      <c r="I284">
        <v>323</v>
      </c>
      <c r="J284">
        <v>35</v>
      </c>
      <c r="K284">
        <v>19</v>
      </c>
      <c r="L284" s="1">
        <f>DATE(sales__2[[#This Row],[year]],sales__2[[#This Row],[month]],1)</f>
        <v>45231</v>
      </c>
    </row>
    <row r="285" spans="1:12" x14ac:dyDescent="0.2">
      <c r="A285" t="s">
        <v>21</v>
      </c>
      <c r="B285" t="s">
        <v>11</v>
      </c>
      <c r="C285" t="s">
        <v>20</v>
      </c>
      <c r="D285">
        <v>33</v>
      </c>
      <c r="E285" t="s">
        <v>23</v>
      </c>
      <c r="F285">
        <v>11</v>
      </c>
      <c r="G285">
        <v>2023</v>
      </c>
      <c r="H285">
        <v>9</v>
      </c>
      <c r="I285">
        <v>342</v>
      </c>
      <c r="J285">
        <v>20</v>
      </c>
      <c r="K285">
        <v>38</v>
      </c>
      <c r="L285" s="1">
        <f>DATE(sales__2[[#This Row],[year]],sales__2[[#This Row],[month]],1)</f>
        <v>45231</v>
      </c>
    </row>
    <row r="286" spans="1:12" x14ac:dyDescent="0.2">
      <c r="A286" t="s">
        <v>10</v>
      </c>
      <c r="B286" t="s">
        <v>11</v>
      </c>
      <c r="C286" t="s">
        <v>12</v>
      </c>
      <c r="D286">
        <v>28</v>
      </c>
      <c r="E286" t="s">
        <v>23</v>
      </c>
      <c r="F286">
        <v>12</v>
      </c>
      <c r="G286">
        <v>2023</v>
      </c>
      <c r="H286">
        <v>14</v>
      </c>
      <c r="I286">
        <v>448</v>
      </c>
      <c r="J286">
        <v>30</v>
      </c>
      <c r="K286">
        <v>32</v>
      </c>
      <c r="L286" s="1">
        <f>DATE(sales__2[[#This Row],[year]],sales__2[[#This Row],[month]],1)</f>
        <v>45261</v>
      </c>
    </row>
    <row r="287" spans="1:12" x14ac:dyDescent="0.2">
      <c r="A287" t="s">
        <v>10</v>
      </c>
      <c r="B287" t="s">
        <v>11</v>
      </c>
      <c r="C287" t="s">
        <v>12</v>
      </c>
      <c r="D287">
        <v>28</v>
      </c>
      <c r="E287" t="s">
        <v>25</v>
      </c>
      <c r="F287">
        <v>12</v>
      </c>
      <c r="G287">
        <v>2023</v>
      </c>
      <c r="H287">
        <v>11</v>
      </c>
      <c r="I287">
        <v>352</v>
      </c>
      <c r="J287">
        <v>25</v>
      </c>
      <c r="K287">
        <v>32</v>
      </c>
      <c r="L287" s="1">
        <f>DATE(sales__2[[#This Row],[year]],sales__2[[#This Row],[month]],1)</f>
        <v>45261</v>
      </c>
    </row>
    <row r="288" spans="1:12" x14ac:dyDescent="0.2">
      <c r="A288" t="s">
        <v>13</v>
      </c>
      <c r="B288" t="s">
        <v>14</v>
      </c>
      <c r="C288" t="s">
        <v>12</v>
      </c>
      <c r="D288">
        <v>32</v>
      </c>
      <c r="E288" t="s">
        <v>23</v>
      </c>
      <c r="F288">
        <v>12</v>
      </c>
      <c r="G288">
        <v>2023</v>
      </c>
      <c r="H288">
        <v>11</v>
      </c>
      <c r="I288">
        <v>396</v>
      </c>
      <c r="J288">
        <v>25</v>
      </c>
      <c r="K288">
        <v>36</v>
      </c>
      <c r="L288" s="1">
        <f>DATE(sales__2[[#This Row],[year]],sales__2[[#This Row],[month]],1)</f>
        <v>45261</v>
      </c>
    </row>
    <row r="289" spans="1:12" x14ac:dyDescent="0.2">
      <c r="A289" t="s">
        <v>15</v>
      </c>
      <c r="B289" t="s">
        <v>16</v>
      </c>
      <c r="C289" t="s">
        <v>12</v>
      </c>
      <c r="D289">
        <v>18</v>
      </c>
      <c r="E289" t="s">
        <v>23</v>
      </c>
      <c r="F289">
        <v>12</v>
      </c>
      <c r="G289">
        <v>2023</v>
      </c>
      <c r="H289">
        <v>18</v>
      </c>
      <c r="I289">
        <v>360</v>
      </c>
      <c r="J289">
        <v>35</v>
      </c>
      <c r="K289">
        <v>20</v>
      </c>
      <c r="L289" s="1">
        <f>DATE(sales__2[[#This Row],[year]],sales__2[[#This Row],[month]],1)</f>
        <v>45261</v>
      </c>
    </row>
    <row r="290" spans="1:12" x14ac:dyDescent="0.2">
      <c r="A290" t="s">
        <v>17</v>
      </c>
      <c r="B290" t="s">
        <v>18</v>
      </c>
      <c r="C290" t="s">
        <v>12</v>
      </c>
      <c r="D290">
        <v>45</v>
      </c>
      <c r="E290" t="s">
        <v>23</v>
      </c>
      <c r="F290">
        <v>12</v>
      </c>
      <c r="G290">
        <v>2023</v>
      </c>
      <c r="H290">
        <v>6</v>
      </c>
      <c r="I290">
        <v>312</v>
      </c>
      <c r="J290">
        <v>15</v>
      </c>
      <c r="K290">
        <v>52</v>
      </c>
      <c r="L290" s="1">
        <f>DATE(sales__2[[#This Row],[year]],sales__2[[#This Row],[month]],1)</f>
        <v>45261</v>
      </c>
    </row>
    <row r="291" spans="1:12" x14ac:dyDescent="0.2">
      <c r="A291" t="s">
        <v>19</v>
      </c>
      <c r="B291" t="s">
        <v>16</v>
      </c>
      <c r="C291" t="s">
        <v>12</v>
      </c>
      <c r="D291">
        <v>15</v>
      </c>
      <c r="E291" t="s">
        <v>23</v>
      </c>
      <c r="F291">
        <v>12</v>
      </c>
      <c r="G291">
        <v>2023</v>
      </c>
      <c r="H291">
        <v>24</v>
      </c>
      <c r="I291">
        <v>408</v>
      </c>
      <c r="J291">
        <v>50</v>
      </c>
      <c r="K291">
        <v>17</v>
      </c>
      <c r="L291" s="1">
        <f>DATE(sales__2[[#This Row],[year]],sales__2[[#This Row],[month]],1)</f>
        <v>45261</v>
      </c>
    </row>
    <row r="292" spans="1:12" x14ac:dyDescent="0.2">
      <c r="A292" t="s">
        <v>19</v>
      </c>
      <c r="B292" t="s">
        <v>16</v>
      </c>
      <c r="C292" t="s">
        <v>12</v>
      </c>
      <c r="D292">
        <v>15</v>
      </c>
      <c r="E292" t="s">
        <v>25</v>
      </c>
      <c r="F292">
        <v>12</v>
      </c>
      <c r="G292">
        <v>2023</v>
      </c>
      <c r="H292">
        <v>22</v>
      </c>
      <c r="I292">
        <v>374</v>
      </c>
      <c r="J292">
        <v>45</v>
      </c>
      <c r="K292">
        <v>17</v>
      </c>
      <c r="L292" s="1">
        <f>DATE(sales__2[[#This Row],[year]],sales__2[[#This Row],[month]],1)</f>
        <v>45261</v>
      </c>
    </row>
    <row r="293" spans="1:12" x14ac:dyDescent="0.2">
      <c r="A293" t="s">
        <v>10</v>
      </c>
      <c r="B293" t="s">
        <v>11</v>
      </c>
      <c r="C293" t="s">
        <v>12</v>
      </c>
      <c r="D293">
        <v>30</v>
      </c>
      <c r="E293" t="s">
        <v>23</v>
      </c>
      <c r="F293">
        <v>12</v>
      </c>
      <c r="G293">
        <v>2023</v>
      </c>
      <c r="H293">
        <v>15</v>
      </c>
      <c r="I293">
        <v>495</v>
      </c>
      <c r="J293">
        <v>30</v>
      </c>
      <c r="K293">
        <v>33</v>
      </c>
      <c r="L293" s="1">
        <f>DATE(sales__2[[#This Row],[year]],sales__2[[#This Row],[month]],1)</f>
        <v>45261</v>
      </c>
    </row>
    <row r="294" spans="1:12" x14ac:dyDescent="0.2">
      <c r="A294" t="s">
        <v>13</v>
      </c>
      <c r="B294" t="s">
        <v>14</v>
      </c>
      <c r="C294" t="s">
        <v>20</v>
      </c>
      <c r="D294">
        <v>35</v>
      </c>
      <c r="E294" t="s">
        <v>23</v>
      </c>
      <c r="F294">
        <v>12</v>
      </c>
      <c r="G294">
        <v>2023</v>
      </c>
      <c r="H294">
        <v>8</v>
      </c>
      <c r="I294">
        <v>351</v>
      </c>
      <c r="J294">
        <v>20</v>
      </c>
      <c r="K294">
        <v>39</v>
      </c>
      <c r="L294" s="1">
        <f>DATE(sales__2[[#This Row],[year]],sales__2[[#This Row],[month]],1)</f>
        <v>45261</v>
      </c>
    </row>
    <row r="295" spans="1:12" x14ac:dyDescent="0.2">
      <c r="A295" t="s">
        <v>15</v>
      </c>
      <c r="B295" t="s">
        <v>16</v>
      </c>
      <c r="C295" t="s">
        <v>20</v>
      </c>
      <c r="D295">
        <v>20</v>
      </c>
      <c r="E295" t="s">
        <v>23</v>
      </c>
      <c r="F295">
        <v>12</v>
      </c>
      <c r="G295">
        <v>2023</v>
      </c>
      <c r="H295">
        <v>18</v>
      </c>
      <c r="I295">
        <v>396</v>
      </c>
      <c r="J295">
        <v>35</v>
      </c>
      <c r="K295">
        <v>22</v>
      </c>
      <c r="L295" s="1">
        <f>DATE(sales__2[[#This Row],[year]],sales__2[[#This Row],[month]],1)</f>
        <v>45261</v>
      </c>
    </row>
    <row r="296" spans="1:12" x14ac:dyDescent="0.2">
      <c r="A296" t="s">
        <v>17</v>
      </c>
      <c r="B296" t="s">
        <v>18</v>
      </c>
      <c r="C296" t="s">
        <v>20</v>
      </c>
      <c r="D296">
        <v>48</v>
      </c>
      <c r="E296" t="s">
        <v>23</v>
      </c>
      <c r="F296">
        <v>12</v>
      </c>
      <c r="G296">
        <v>2023</v>
      </c>
      <c r="H296">
        <v>5</v>
      </c>
      <c r="I296">
        <v>280</v>
      </c>
      <c r="J296">
        <v>12</v>
      </c>
      <c r="K296">
        <v>56</v>
      </c>
      <c r="L296" s="1">
        <f>DATE(sales__2[[#This Row],[year]],sales__2[[#This Row],[month]],1)</f>
        <v>45261</v>
      </c>
    </row>
    <row r="297" spans="1:12" x14ac:dyDescent="0.2">
      <c r="A297" t="s">
        <v>19</v>
      </c>
      <c r="B297" t="s">
        <v>16</v>
      </c>
      <c r="C297" t="s">
        <v>20</v>
      </c>
      <c r="D297">
        <v>17</v>
      </c>
      <c r="E297" t="s">
        <v>23</v>
      </c>
      <c r="F297">
        <v>12</v>
      </c>
      <c r="G297">
        <v>2023</v>
      </c>
      <c r="H297">
        <v>22</v>
      </c>
      <c r="I297">
        <v>399</v>
      </c>
      <c r="J297">
        <v>40</v>
      </c>
      <c r="K297">
        <v>19</v>
      </c>
      <c r="L297" s="1">
        <f>DATE(sales__2[[#This Row],[year]],sales__2[[#This Row],[month]],1)</f>
        <v>45261</v>
      </c>
    </row>
    <row r="298" spans="1:12" x14ac:dyDescent="0.2">
      <c r="A298" t="s">
        <v>21</v>
      </c>
      <c r="B298" t="s">
        <v>11</v>
      </c>
      <c r="C298" t="s">
        <v>20</v>
      </c>
      <c r="D298">
        <v>33</v>
      </c>
      <c r="E298" t="s">
        <v>23</v>
      </c>
      <c r="F298">
        <v>12</v>
      </c>
      <c r="G298">
        <v>2023</v>
      </c>
      <c r="H298">
        <v>11</v>
      </c>
      <c r="I298">
        <v>456</v>
      </c>
      <c r="J298">
        <v>25</v>
      </c>
      <c r="K298">
        <v>38</v>
      </c>
      <c r="L298" s="1">
        <f>DATE(sales__2[[#This Row],[year]],sales__2[[#This Row],[month]],1)</f>
        <v>45261</v>
      </c>
    </row>
    <row r="299" spans="1:12" x14ac:dyDescent="0.2">
      <c r="A299" t="s">
        <v>10</v>
      </c>
      <c r="B299" t="s">
        <v>11</v>
      </c>
      <c r="C299" t="s">
        <v>12</v>
      </c>
      <c r="D299">
        <v>28</v>
      </c>
      <c r="E299" t="s">
        <v>23</v>
      </c>
      <c r="F299">
        <v>1</v>
      </c>
      <c r="G299">
        <v>2024</v>
      </c>
      <c r="H299">
        <v>13</v>
      </c>
      <c r="I299">
        <v>429</v>
      </c>
      <c r="J299">
        <v>25</v>
      </c>
      <c r="K299">
        <v>33</v>
      </c>
      <c r="L299" s="1">
        <f>DATE(sales__2[[#This Row],[year]],sales__2[[#This Row],[month]],1)</f>
        <v>45292</v>
      </c>
    </row>
    <row r="300" spans="1:12" x14ac:dyDescent="0.2">
      <c r="A300" t="s">
        <v>10</v>
      </c>
      <c r="B300" t="s">
        <v>11</v>
      </c>
      <c r="C300" t="s">
        <v>12</v>
      </c>
      <c r="D300">
        <v>28</v>
      </c>
      <c r="E300" t="s">
        <v>24</v>
      </c>
      <c r="F300">
        <v>1</v>
      </c>
      <c r="G300">
        <v>2024</v>
      </c>
      <c r="H300">
        <v>8</v>
      </c>
      <c r="I300">
        <v>264</v>
      </c>
      <c r="J300">
        <v>18</v>
      </c>
      <c r="K300">
        <v>33</v>
      </c>
      <c r="L300" s="1">
        <f>DATE(sales__2[[#This Row],[year]],sales__2[[#This Row],[month]],1)</f>
        <v>45292</v>
      </c>
    </row>
    <row r="301" spans="1:12" x14ac:dyDescent="0.2">
      <c r="A301" t="s">
        <v>10</v>
      </c>
      <c r="B301" t="s">
        <v>11</v>
      </c>
      <c r="C301" t="s">
        <v>12</v>
      </c>
      <c r="D301">
        <v>28</v>
      </c>
      <c r="E301" t="s">
        <v>25</v>
      </c>
      <c r="F301">
        <v>1</v>
      </c>
      <c r="G301">
        <v>2024</v>
      </c>
      <c r="H301">
        <v>10</v>
      </c>
      <c r="I301">
        <v>330</v>
      </c>
      <c r="J301">
        <v>22</v>
      </c>
      <c r="K301">
        <v>33</v>
      </c>
      <c r="L301" s="1">
        <f>DATE(sales__2[[#This Row],[year]],sales__2[[#This Row],[month]],1)</f>
        <v>45292</v>
      </c>
    </row>
    <row r="302" spans="1:12" x14ac:dyDescent="0.2">
      <c r="A302" t="s">
        <v>10</v>
      </c>
      <c r="B302" t="s">
        <v>11</v>
      </c>
      <c r="C302" t="s">
        <v>12</v>
      </c>
      <c r="D302">
        <v>28</v>
      </c>
      <c r="E302" t="s">
        <v>26</v>
      </c>
      <c r="F302">
        <v>1</v>
      </c>
      <c r="G302">
        <v>2024</v>
      </c>
      <c r="H302">
        <v>6</v>
      </c>
      <c r="I302">
        <v>198</v>
      </c>
      <c r="J302">
        <v>15</v>
      </c>
      <c r="K302">
        <v>33</v>
      </c>
      <c r="L302" s="1">
        <f>DATE(sales__2[[#This Row],[year]],sales__2[[#This Row],[month]],1)</f>
        <v>45292</v>
      </c>
    </row>
    <row r="303" spans="1:12" x14ac:dyDescent="0.2">
      <c r="A303" t="s">
        <v>10</v>
      </c>
      <c r="B303" t="s">
        <v>11</v>
      </c>
      <c r="C303" t="s">
        <v>12</v>
      </c>
      <c r="D303">
        <v>28</v>
      </c>
      <c r="E303" t="s">
        <v>27</v>
      </c>
      <c r="F303">
        <v>1</v>
      </c>
      <c r="G303">
        <v>2024</v>
      </c>
      <c r="H303">
        <v>9</v>
      </c>
      <c r="I303">
        <v>297</v>
      </c>
      <c r="J303">
        <v>20</v>
      </c>
      <c r="K303">
        <v>33</v>
      </c>
      <c r="L303" s="1">
        <f>DATE(sales__2[[#This Row],[year]],sales__2[[#This Row],[month]],1)</f>
        <v>45292</v>
      </c>
    </row>
    <row r="304" spans="1:12" x14ac:dyDescent="0.2">
      <c r="A304" t="s">
        <v>13</v>
      </c>
      <c r="B304" t="s">
        <v>14</v>
      </c>
      <c r="C304" t="s">
        <v>12</v>
      </c>
      <c r="D304">
        <v>32</v>
      </c>
      <c r="E304" t="s">
        <v>23</v>
      </c>
      <c r="F304">
        <v>1</v>
      </c>
      <c r="G304">
        <v>2024</v>
      </c>
      <c r="H304">
        <v>9</v>
      </c>
      <c r="I304">
        <v>342</v>
      </c>
      <c r="J304">
        <v>20</v>
      </c>
      <c r="K304">
        <v>38</v>
      </c>
      <c r="L304" s="1">
        <f>DATE(sales__2[[#This Row],[year]],sales__2[[#This Row],[month]],1)</f>
        <v>45292</v>
      </c>
    </row>
    <row r="305" spans="1:12" x14ac:dyDescent="0.2">
      <c r="A305" t="s">
        <v>13</v>
      </c>
      <c r="B305" t="s">
        <v>14</v>
      </c>
      <c r="C305" t="s">
        <v>12</v>
      </c>
      <c r="D305">
        <v>32</v>
      </c>
      <c r="E305" t="s">
        <v>24</v>
      </c>
      <c r="F305">
        <v>1</v>
      </c>
      <c r="G305">
        <v>2024</v>
      </c>
      <c r="H305">
        <v>6</v>
      </c>
      <c r="I305">
        <v>228</v>
      </c>
      <c r="J305">
        <v>15</v>
      </c>
      <c r="K305">
        <v>38</v>
      </c>
      <c r="L305" s="1">
        <f>DATE(sales__2[[#This Row],[year]],sales__2[[#This Row],[month]],1)</f>
        <v>45292</v>
      </c>
    </row>
    <row r="306" spans="1:12" x14ac:dyDescent="0.2">
      <c r="A306" t="s">
        <v>15</v>
      </c>
      <c r="B306" t="s">
        <v>16</v>
      </c>
      <c r="C306" t="s">
        <v>12</v>
      </c>
      <c r="D306">
        <v>18</v>
      </c>
      <c r="E306" t="s">
        <v>23</v>
      </c>
      <c r="F306">
        <v>1</v>
      </c>
      <c r="G306">
        <v>2024</v>
      </c>
      <c r="H306">
        <v>15</v>
      </c>
      <c r="I306">
        <v>315</v>
      </c>
      <c r="J306">
        <v>30</v>
      </c>
      <c r="K306">
        <v>21</v>
      </c>
      <c r="L306" s="1">
        <f>DATE(sales__2[[#This Row],[year]],sales__2[[#This Row],[month]],1)</f>
        <v>45292</v>
      </c>
    </row>
    <row r="307" spans="1:12" x14ac:dyDescent="0.2">
      <c r="A307" t="s">
        <v>15</v>
      </c>
      <c r="B307" t="s">
        <v>16</v>
      </c>
      <c r="C307" t="s">
        <v>12</v>
      </c>
      <c r="D307">
        <v>18</v>
      </c>
      <c r="E307" t="s">
        <v>25</v>
      </c>
      <c r="F307">
        <v>1</v>
      </c>
      <c r="G307">
        <v>2024</v>
      </c>
      <c r="H307">
        <v>20</v>
      </c>
      <c r="I307">
        <v>378</v>
      </c>
      <c r="J307">
        <v>35</v>
      </c>
      <c r="K307">
        <v>21</v>
      </c>
      <c r="L307" s="1">
        <f>DATE(sales__2[[#This Row],[year]],sales__2[[#This Row],[month]],1)</f>
        <v>45292</v>
      </c>
    </row>
    <row r="308" spans="1:12" x14ac:dyDescent="0.2">
      <c r="A308" t="s">
        <v>17</v>
      </c>
      <c r="B308" t="s">
        <v>18</v>
      </c>
      <c r="C308" t="s">
        <v>12</v>
      </c>
      <c r="D308">
        <v>45</v>
      </c>
      <c r="E308" t="s">
        <v>23</v>
      </c>
      <c r="F308">
        <v>1</v>
      </c>
      <c r="G308">
        <v>2024</v>
      </c>
      <c r="H308">
        <v>4</v>
      </c>
      <c r="I308">
        <v>216</v>
      </c>
      <c r="J308">
        <v>10</v>
      </c>
      <c r="K308">
        <v>54</v>
      </c>
      <c r="L308" s="1">
        <f>DATE(sales__2[[#This Row],[year]],sales__2[[#This Row],[month]],1)</f>
        <v>45292</v>
      </c>
    </row>
    <row r="309" spans="1:12" x14ac:dyDescent="0.2">
      <c r="A309" t="s">
        <v>19</v>
      </c>
      <c r="B309" t="s">
        <v>16</v>
      </c>
      <c r="C309" t="s">
        <v>12</v>
      </c>
      <c r="D309">
        <v>15</v>
      </c>
      <c r="E309" t="s">
        <v>23</v>
      </c>
      <c r="F309">
        <v>1</v>
      </c>
      <c r="G309">
        <v>2024</v>
      </c>
      <c r="H309">
        <v>21</v>
      </c>
      <c r="I309">
        <v>360</v>
      </c>
      <c r="J309">
        <v>40</v>
      </c>
      <c r="K309">
        <v>18</v>
      </c>
      <c r="L309" s="1">
        <f>DATE(sales__2[[#This Row],[year]],sales__2[[#This Row],[month]],1)</f>
        <v>45292</v>
      </c>
    </row>
    <row r="310" spans="1:12" x14ac:dyDescent="0.2">
      <c r="A310" t="s">
        <v>19</v>
      </c>
      <c r="B310" t="s">
        <v>16</v>
      </c>
      <c r="C310" t="s">
        <v>12</v>
      </c>
      <c r="D310">
        <v>15</v>
      </c>
      <c r="E310" t="s">
        <v>25</v>
      </c>
      <c r="F310">
        <v>1</v>
      </c>
      <c r="G310">
        <v>2024</v>
      </c>
      <c r="H310">
        <v>21</v>
      </c>
      <c r="I310">
        <v>396</v>
      </c>
      <c r="J310">
        <v>45</v>
      </c>
      <c r="K310">
        <v>18</v>
      </c>
      <c r="L310" s="1">
        <f>DATE(sales__2[[#This Row],[year]],sales__2[[#This Row],[month]],1)</f>
        <v>45292</v>
      </c>
    </row>
    <row r="311" spans="1:12" x14ac:dyDescent="0.2">
      <c r="A311" t="s">
        <v>10</v>
      </c>
      <c r="B311" t="s">
        <v>11</v>
      </c>
      <c r="C311" t="s">
        <v>12</v>
      </c>
      <c r="D311">
        <v>30</v>
      </c>
      <c r="E311" t="s">
        <v>23</v>
      </c>
      <c r="F311">
        <v>1</v>
      </c>
      <c r="G311">
        <v>2024</v>
      </c>
      <c r="H311">
        <v>11</v>
      </c>
      <c r="I311">
        <v>374</v>
      </c>
      <c r="J311">
        <v>25</v>
      </c>
      <c r="K311">
        <v>34</v>
      </c>
      <c r="L311" s="1">
        <f>DATE(sales__2[[#This Row],[year]],sales__2[[#This Row],[month]],1)</f>
        <v>45292</v>
      </c>
    </row>
    <row r="312" spans="1:12" x14ac:dyDescent="0.2">
      <c r="A312" t="s">
        <v>13</v>
      </c>
      <c r="B312" t="s">
        <v>14</v>
      </c>
      <c r="C312" t="s">
        <v>20</v>
      </c>
      <c r="D312">
        <v>35</v>
      </c>
      <c r="E312" t="s">
        <v>23</v>
      </c>
      <c r="F312">
        <v>1</v>
      </c>
      <c r="G312">
        <v>2024</v>
      </c>
      <c r="H312">
        <v>7</v>
      </c>
      <c r="I312">
        <v>287</v>
      </c>
      <c r="J312">
        <v>18</v>
      </c>
      <c r="K312">
        <v>41</v>
      </c>
      <c r="L312" s="1">
        <f>DATE(sales__2[[#This Row],[year]],sales__2[[#This Row],[month]],1)</f>
        <v>45292</v>
      </c>
    </row>
    <row r="313" spans="1:12" x14ac:dyDescent="0.2">
      <c r="A313" t="s">
        <v>15</v>
      </c>
      <c r="B313" t="s">
        <v>16</v>
      </c>
      <c r="C313" t="s">
        <v>20</v>
      </c>
      <c r="D313">
        <v>20</v>
      </c>
      <c r="E313" t="s">
        <v>23</v>
      </c>
      <c r="F313">
        <v>1</v>
      </c>
      <c r="G313">
        <v>2024</v>
      </c>
      <c r="H313">
        <v>14</v>
      </c>
      <c r="I313">
        <v>322</v>
      </c>
      <c r="J313">
        <v>30</v>
      </c>
      <c r="K313">
        <v>23</v>
      </c>
      <c r="L313" s="1">
        <f>DATE(sales__2[[#This Row],[year]],sales__2[[#This Row],[month]],1)</f>
        <v>45292</v>
      </c>
    </row>
    <row r="314" spans="1:12" x14ac:dyDescent="0.2">
      <c r="A314" t="s">
        <v>17</v>
      </c>
      <c r="B314" t="s">
        <v>18</v>
      </c>
      <c r="C314" t="s">
        <v>20</v>
      </c>
      <c r="D314">
        <v>48</v>
      </c>
      <c r="E314" t="s">
        <v>23</v>
      </c>
      <c r="F314">
        <v>1</v>
      </c>
      <c r="G314">
        <v>2024</v>
      </c>
      <c r="H314">
        <v>3</v>
      </c>
      <c r="I314">
        <v>177</v>
      </c>
      <c r="J314">
        <v>8</v>
      </c>
      <c r="K314">
        <v>59</v>
      </c>
      <c r="L314" s="1">
        <f>DATE(sales__2[[#This Row],[year]],sales__2[[#This Row],[month]],1)</f>
        <v>45292</v>
      </c>
    </row>
    <row r="315" spans="1:12" x14ac:dyDescent="0.2">
      <c r="A315" t="s">
        <v>19</v>
      </c>
      <c r="B315" t="s">
        <v>16</v>
      </c>
      <c r="C315" t="s">
        <v>20</v>
      </c>
      <c r="D315">
        <v>17</v>
      </c>
      <c r="E315" t="s">
        <v>23</v>
      </c>
      <c r="F315">
        <v>1</v>
      </c>
      <c r="G315">
        <v>2024</v>
      </c>
      <c r="H315">
        <v>16</v>
      </c>
      <c r="I315">
        <v>336</v>
      </c>
      <c r="J315">
        <v>35</v>
      </c>
      <c r="K315">
        <v>21</v>
      </c>
      <c r="L315" s="1">
        <f>DATE(sales__2[[#This Row],[year]],sales__2[[#This Row],[month]],1)</f>
        <v>45292</v>
      </c>
    </row>
    <row r="316" spans="1:12" x14ac:dyDescent="0.2">
      <c r="A316" t="s">
        <v>21</v>
      </c>
      <c r="B316" t="s">
        <v>11</v>
      </c>
      <c r="C316" t="s">
        <v>20</v>
      </c>
      <c r="D316">
        <v>33</v>
      </c>
      <c r="E316" t="s">
        <v>23</v>
      </c>
      <c r="F316">
        <v>1</v>
      </c>
      <c r="G316">
        <v>2024</v>
      </c>
      <c r="H316">
        <v>8</v>
      </c>
      <c r="I316">
        <v>336</v>
      </c>
      <c r="J316">
        <v>20</v>
      </c>
      <c r="K316">
        <v>42</v>
      </c>
      <c r="L316" s="1">
        <f>DATE(sales__2[[#This Row],[year]],sales__2[[#This Row],[month]],1)</f>
        <v>45292</v>
      </c>
    </row>
    <row r="317" spans="1:12" x14ac:dyDescent="0.2">
      <c r="A317" t="s">
        <v>10</v>
      </c>
      <c r="B317" t="s">
        <v>11</v>
      </c>
      <c r="C317" t="s">
        <v>12</v>
      </c>
      <c r="D317">
        <v>28</v>
      </c>
      <c r="E317" t="s">
        <v>23</v>
      </c>
      <c r="F317">
        <v>2</v>
      </c>
      <c r="G317">
        <v>2024</v>
      </c>
      <c r="H317">
        <v>10</v>
      </c>
      <c r="I317">
        <v>330</v>
      </c>
      <c r="J317">
        <v>20</v>
      </c>
      <c r="K317">
        <v>33</v>
      </c>
      <c r="L317" s="1">
        <f>DATE(sales__2[[#This Row],[year]],sales__2[[#This Row],[month]],1)</f>
        <v>45323</v>
      </c>
    </row>
    <row r="318" spans="1:12" x14ac:dyDescent="0.2">
      <c r="A318" t="s">
        <v>10</v>
      </c>
      <c r="B318" t="s">
        <v>11</v>
      </c>
      <c r="C318" t="s">
        <v>12</v>
      </c>
      <c r="D318">
        <v>28</v>
      </c>
      <c r="E318" t="s">
        <v>25</v>
      </c>
      <c r="F318">
        <v>2</v>
      </c>
      <c r="G318">
        <v>2024</v>
      </c>
      <c r="H318">
        <v>8</v>
      </c>
      <c r="I318">
        <v>264</v>
      </c>
      <c r="J318">
        <v>18</v>
      </c>
      <c r="K318">
        <v>33</v>
      </c>
      <c r="L318" s="1">
        <f>DATE(sales__2[[#This Row],[year]],sales__2[[#This Row],[month]],1)</f>
        <v>45323</v>
      </c>
    </row>
    <row r="319" spans="1:12" x14ac:dyDescent="0.2">
      <c r="A319" t="s">
        <v>13</v>
      </c>
      <c r="B319" t="s">
        <v>14</v>
      </c>
      <c r="C319" t="s">
        <v>12</v>
      </c>
      <c r="D319">
        <v>32</v>
      </c>
      <c r="E319" t="s">
        <v>23</v>
      </c>
      <c r="F319">
        <v>2</v>
      </c>
      <c r="G319">
        <v>2024</v>
      </c>
      <c r="H319">
        <v>8</v>
      </c>
      <c r="I319">
        <v>266</v>
      </c>
      <c r="J319">
        <v>16</v>
      </c>
      <c r="K319">
        <v>38</v>
      </c>
      <c r="L319" s="1">
        <f>DATE(sales__2[[#This Row],[year]],sales__2[[#This Row],[month]],1)</f>
        <v>45323</v>
      </c>
    </row>
    <row r="320" spans="1:12" x14ac:dyDescent="0.2">
      <c r="A320" t="s">
        <v>15</v>
      </c>
      <c r="B320" t="s">
        <v>16</v>
      </c>
      <c r="C320" t="s">
        <v>12</v>
      </c>
      <c r="D320">
        <v>18</v>
      </c>
      <c r="E320" t="s">
        <v>23</v>
      </c>
      <c r="F320">
        <v>2</v>
      </c>
      <c r="G320">
        <v>2024</v>
      </c>
      <c r="H320">
        <v>12</v>
      </c>
      <c r="I320">
        <v>252</v>
      </c>
      <c r="J320">
        <v>25</v>
      </c>
      <c r="K320">
        <v>21</v>
      </c>
      <c r="L320" s="1">
        <f>DATE(sales__2[[#This Row],[year]],sales__2[[#This Row],[month]],1)</f>
        <v>45323</v>
      </c>
    </row>
    <row r="321" spans="1:12" x14ac:dyDescent="0.2">
      <c r="A321" t="s">
        <v>19</v>
      </c>
      <c r="B321" t="s">
        <v>16</v>
      </c>
      <c r="C321" t="s">
        <v>12</v>
      </c>
      <c r="D321">
        <v>15</v>
      </c>
      <c r="E321" t="s">
        <v>23</v>
      </c>
      <c r="F321">
        <v>2</v>
      </c>
      <c r="G321">
        <v>2024</v>
      </c>
      <c r="H321">
        <v>18</v>
      </c>
      <c r="I321">
        <v>324</v>
      </c>
      <c r="J321">
        <v>35</v>
      </c>
      <c r="K321">
        <v>18</v>
      </c>
      <c r="L321" s="1">
        <f>DATE(sales__2[[#This Row],[year]],sales__2[[#This Row],[month]],1)</f>
        <v>45323</v>
      </c>
    </row>
    <row r="322" spans="1:12" x14ac:dyDescent="0.2">
      <c r="A322" t="s">
        <v>10</v>
      </c>
      <c r="B322" t="s">
        <v>11</v>
      </c>
      <c r="C322" t="s">
        <v>12</v>
      </c>
      <c r="D322">
        <v>30</v>
      </c>
      <c r="E322" t="s">
        <v>23</v>
      </c>
      <c r="F322">
        <v>2</v>
      </c>
      <c r="G322">
        <v>2024</v>
      </c>
      <c r="H322">
        <v>9</v>
      </c>
      <c r="I322">
        <v>306</v>
      </c>
      <c r="J322">
        <v>20</v>
      </c>
      <c r="K322">
        <v>34</v>
      </c>
      <c r="L322" s="1">
        <f>DATE(sales__2[[#This Row],[year]],sales__2[[#This Row],[month]],1)</f>
        <v>45323</v>
      </c>
    </row>
    <row r="323" spans="1:12" x14ac:dyDescent="0.2">
      <c r="A323" t="s">
        <v>13</v>
      </c>
      <c r="B323" t="s">
        <v>14</v>
      </c>
      <c r="C323" t="s">
        <v>20</v>
      </c>
      <c r="D323">
        <v>35</v>
      </c>
      <c r="E323" t="s">
        <v>23</v>
      </c>
      <c r="F323">
        <v>2</v>
      </c>
      <c r="G323">
        <v>2024</v>
      </c>
      <c r="H323">
        <v>6</v>
      </c>
      <c r="I323">
        <v>246</v>
      </c>
      <c r="J323">
        <v>15</v>
      </c>
      <c r="K323">
        <v>41</v>
      </c>
      <c r="L323" s="1">
        <f>DATE(sales__2[[#This Row],[year]],sales__2[[#This Row],[month]],1)</f>
        <v>45323</v>
      </c>
    </row>
    <row r="324" spans="1:12" x14ac:dyDescent="0.2">
      <c r="A324" t="s">
        <v>15</v>
      </c>
      <c r="B324" t="s">
        <v>16</v>
      </c>
      <c r="C324" t="s">
        <v>20</v>
      </c>
      <c r="D324">
        <v>20</v>
      </c>
      <c r="E324" t="s">
        <v>23</v>
      </c>
      <c r="F324">
        <v>2</v>
      </c>
      <c r="G324">
        <v>2024</v>
      </c>
      <c r="H324">
        <v>11</v>
      </c>
      <c r="I324">
        <v>253</v>
      </c>
      <c r="J324">
        <v>25</v>
      </c>
      <c r="K324">
        <v>23</v>
      </c>
      <c r="L324" s="1">
        <f>DATE(sales__2[[#This Row],[year]],sales__2[[#This Row],[month]],1)</f>
        <v>45323</v>
      </c>
    </row>
    <row r="325" spans="1:12" x14ac:dyDescent="0.2">
      <c r="A325" t="s">
        <v>19</v>
      </c>
      <c r="B325" t="s">
        <v>16</v>
      </c>
      <c r="C325" t="s">
        <v>20</v>
      </c>
      <c r="D325">
        <v>17</v>
      </c>
      <c r="E325" t="s">
        <v>23</v>
      </c>
      <c r="F325">
        <v>2</v>
      </c>
      <c r="G325">
        <v>2024</v>
      </c>
      <c r="H325">
        <v>14</v>
      </c>
      <c r="I325">
        <v>294</v>
      </c>
      <c r="J325">
        <v>30</v>
      </c>
      <c r="K325">
        <v>21</v>
      </c>
      <c r="L325" s="1">
        <f>DATE(sales__2[[#This Row],[year]],sales__2[[#This Row],[month]],1)</f>
        <v>45323</v>
      </c>
    </row>
    <row r="326" spans="1:12" x14ac:dyDescent="0.2">
      <c r="A326" t="s">
        <v>21</v>
      </c>
      <c r="B326" t="s">
        <v>11</v>
      </c>
      <c r="C326" t="s">
        <v>20</v>
      </c>
      <c r="D326">
        <v>33</v>
      </c>
      <c r="E326" t="s">
        <v>23</v>
      </c>
      <c r="F326">
        <v>2</v>
      </c>
      <c r="G326">
        <v>2024</v>
      </c>
      <c r="H326">
        <v>7</v>
      </c>
      <c r="I326">
        <v>294</v>
      </c>
      <c r="J326">
        <v>16</v>
      </c>
      <c r="K326">
        <v>42</v>
      </c>
      <c r="L326" s="1">
        <f>DATE(sales__2[[#This Row],[year]],sales__2[[#This Row],[month]],1)</f>
        <v>45323</v>
      </c>
    </row>
    <row r="327" spans="1:12" x14ac:dyDescent="0.2">
      <c r="A327" t="s">
        <v>10</v>
      </c>
      <c r="B327" t="s">
        <v>11</v>
      </c>
      <c r="C327" t="s">
        <v>12</v>
      </c>
      <c r="D327">
        <v>28</v>
      </c>
      <c r="E327" t="s">
        <v>23</v>
      </c>
      <c r="F327">
        <v>3</v>
      </c>
      <c r="G327">
        <v>2024</v>
      </c>
      <c r="H327">
        <v>14</v>
      </c>
      <c r="I327">
        <v>462</v>
      </c>
      <c r="J327">
        <v>25</v>
      </c>
      <c r="K327">
        <v>33</v>
      </c>
      <c r="L327" s="1">
        <f>DATE(sales__2[[#This Row],[year]],sales__2[[#This Row],[month]],1)</f>
        <v>45352</v>
      </c>
    </row>
    <row r="328" spans="1:12" x14ac:dyDescent="0.2">
      <c r="A328" t="s">
        <v>10</v>
      </c>
      <c r="B328" t="s">
        <v>11</v>
      </c>
      <c r="C328" t="s">
        <v>12</v>
      </c>
      <c r="D328">
        <v>28</v>
      </c>
      <c r="E328" t="s">
        <v>27</v>
      </c>
      <c r="F328">
        <v>3</v>
      </c>
      <c r="G328">
        <v>2024</v>
      </c>
      <c r="H328">
        <v>10</v>
      </c>
      <c r="I328">
        <v>330</v>
      </c>
      <c r="J328">
        <v>20</v>
      </c>
      <c r="K328">
        <v>33</v>
      </c>
      <c r="L328" s="1">
        <f>DATE(sales__2[[#This Row],[year]],sales__2[[#This Row],[month]],1)</f>
        <v>45352</v>
      </c>
    </row>
    <row r="329" spans="1:12" x14ac:dyDescent="0.2">
      <c r="A329" t="s">
        <v>13</v>
      </c>
      <c r="B329" t="s">
        <v>14</v>
      </c>
      <c r="C329" t="s">
        <v>12</v>
      </c>
      <c r="D329">
        <v>32</v>
      </c>
      <c r="E329" t="s">
        <v>23</v>
      </c>
      <c r="F329">
        <v>3</v>
      </c>
      <c r="G329">
        <v>2024</v>
      </c>
      <c r="H329">
        <v>9</v>
      </c>
      <c r="I329">
        <v>304</v>
      </c>
      <c r="J329">
        <v>18</v>
      </c>
      <c r="K329">
        <v>38</v>
      </c>
      <c r="L329" s="1">
        <f>DATE(sales__2[[#This Row],[year]],sales__2[[#This Row],[month]],1)</f>
        <v>45352</v>
      </c>
    </row>
    <row r="330" spans="1:12" x14ac:dyDescent="0.2">
      <c r="A330" t="s">
        <v>15</v>
      </c>
      <c r="B330" t="s">
        <v>16</v>
      </c>
      <c r="C330" t="s">
        <v>12</v>
      </c>
      <c r="D330">
        <v>18</v>
      </c>
      <c r="E330" t="s">
        <v>23</v>
      </c>
      <c r="F330">
        <v>3</v>
      </c>
      <c r="G330">
        <v>2024</v>
      </c>
      <c r="H330">
        <v>16</v>
      </c>
      <c r="I330">
        <v>336</v>
      </c>
      <c r="J330">
        <v>35</v>
      </c>
      <c r="K330">
        <v>21</v>
      </c>
      <c r="L330" s="1">
        <f>DATE(sales__2[[#This Row],[year]],sales__2[[#This Row],[month]],1)</f>
        <v>45352</v>
      </c>
    </row>
    <row r="331" spans="1:12" x14ac:dyDescent="0.2">
      <c r="A331" t="s">
        <v>15</v>
      </c>
      <c r="B331" t="s">
        <v>16</v>
      </c>
      <c r="C331" t="s">
        <v>12</v>
      </c>
      <c r="D331">
        <v>18</v>
      </c>
      <c r="E331" t="s">
        <v>25</v>
      </c>
      <c r="F331">
        <v>3</v>
      </c>
      <c r="G331">
        <v>2024</v>
      </c>
      <c r="H331">
        <v>22</v>
      </c>
      <c r="I331">
        <v>420</v>
      </c>
      <c r="J331">
        <v>40</v>
      </c>
      <c r="K331">
        <v>21</v>
      </c>
      <c r="L331" s="1">
        <f>DATE(sales__2[[#This Row],[year]],sales__2[[#This Row],[month]],1)</f>
        <v>45352</v>
      </c>
    </row>
    <row r="332" spans="1:12" x14ac:dyDescent="0.2">
      <c r="A332" t="s">
        <v>19</v>
      </c>
      <c r="B332" t="s">
        <v>16</v>
      </c>
      <c r="C332" t="s">
        <v>12</v>
      </c>
      <c r="D332">
        <v>15</v>
      </c>
      <c r="E332" t="s">
        <v>23</v>
      </c>
      <c r="F332">
        <v>3</v>
      </c>
      <c r="G332">
        <v>2024</v>
      </c>
      <c r="H332">
        <v>22</v>
      </c>
      <c r="I332">
        <v>396</v>
      </c>
      <c r="J332">
        <v>45</v>
      </c>
      <c r="K332">
        <v>18</v>
      </c>
      <c r="L332" s="1">
        <f>DATE(sales__2[[#This Row],[year]],sales__2[[#This Row],[month]],1)</f>
        <v>45352</v>
      </c>
    </row>
    <row r="333" spans="1:12" x14ac:dyDescent="0.2">
      <c r="A333" t="s">
        <v>19</v>
      </c>
      <c r="B333" t="s">
        <v>16</v>
      </c>
      <c r="C333" t="s">
        <v>12</v>
      </c>
      <c r="D333">
        <v>15</v>
      </c>
      <c r="E333" t="s">
        <v>27</v>
      </c>
      <c r="F333">
        <v>3</v>
      </c>
      <c r="G333">
        <v>2024</v>
      </c>
      <c r="H333">
        <v>18</v>
      </c>
      <c r="I333">
        <v>324</v>
      </c>
      <c r="J333">
        <v>35</v>
      </c>
      <c r="K333">
        <v>18</v>
      </c>
      <c r="L333" s="1">
        <f>DATE(sales__2[[#This Row],[year]],sales__2[[#This Row],[month]],1)</f>
        <v>45352</v>
      </c>
    </row>
    <row r="334" spans="1:12" x14ac:dyDescent="0.2">
      <c r="A334" t="s">
        <v>10</v>
      </c>
      <c r="B334" t="s">
        <v>11</v>
      </c>
      <c r="C334" t="s">
        <v>12</v>
      </c>
      <c r="D334">
        <v>30</v>
      </c>
      <c r="E334" t="s">
        <v>23</v>
      </c>
      <c r="F334">
        <v>3</v>
      </c>
      <c r="G334">
        <v>2024</v>
      </c>
      <c r="H334">
        <v>12</v>
      </c>
      <c r="I334">
        <v>408</v>
      </c>
      <c r="J334">
        <v>25</v>
      </c>
      <c r="K334">
        <v>34</v>
      </c>
      <c r="L334" s="1">
        <f>DATE(sales__2[[#This Row],[year]],sales__2[[#This Row],[month]],1)</f>
        <v>45352</v>
      </c>
    </row>
    <row r="335" spans="1:12" x14ac:dyDescent="0.2">
      <c r="A335" t="s">
        <v>15</v>
      </c>
      <c r="B335" t="s">
        <v>16</v>
      </c>
      <c r="C335" t="s">
        <v>20</v>
      </c>
      <c r="D335">
        <v>20</v>
      </c>
      <c r="E335" t="s">
        <v>23</v>
      </c>
      <c r="F335">
        <v>3</v>
      </c>
      <c r="G335">
        <v>2024</v>
      </c>
      <c r="H335">
        <v>15</v>
      </c>
      <c r="I335">
        <v>345</v>
      </c>
      <c r="J335">
        <v>30</v>
      </c>
      <c r="K335">
        <v>23</v>
      </c>
      <c r="L335" s="1">
        <f>DATE(sales__2[[#This Row],[year]],sales__2[[#This Row],[month]],1)</f>
        <v>45352</v>
      </c>
    </row>
    <row r="336" spans="1:12" x14ac:dyDescent="0.2">
      <c r="A336" t="s">
        <v>19</v>
      </c>
      <c r="B336" t="s">
        <v>16</v>
      </c>
      <c r="C336" t="s">
        <v>20</v>
      </c>
      <c r="D336">
        <v>17</v>
      </c>
      <c r="E336" t="s">
        <v>23</v>
      </c>
      <c r="F336">
        <v>3</v>
      </c>
      <c r="G336">
        <v>2024</v>
      </c>
      <c r="H336">
        <v>18</v>
      </c>
      <c r="I336">
        <v>357</v>
      </c>
      <c r="J336">
        <v>35</v>
      </c>
      <c r="K336">
        <v>21</v>
      </c>
      <c r="L336" s="1">
        <f>DATE(sales__2[[#This Row],[year]],sales__2[[#This Row],[month]],1)</f>
        <v>45352</v>
      </c>
    </row>
    <row r="337" spans="1:12" x14ac:dyDescent="0.2">
      <c r="A337" t="s">
        <v>21</v>
      </c>
      <c r="B337" t="s">
        <v>11</v>
      </c>
      <c r="C337" t="s">
        <v>20</v>
      </c>
      <c r="D337">
        <v>33</v>
      </c>
      <c r="E337" t="s">
        <v>23</v>
      </c>
      <c r="F337">
        <v>3</v>
      </c>
      <c r="G337">
        <v>2024</v>
      </c>
      <c r="H337">
        <v>9</v>
      </c>
      <c r="I337">
        <v>378</v>
      </c>
      <c r="J337">
        <v>20</v>
      </c>
      <c r="K337">
        <v>42</v>
      </c>
      <c r="L337" s="1">
        <f>DATE(sales__2[[#This Row],[year]],sales__2[[#This Row],[month]],1)</f>
        <v>45352</v>
      </c>
    </row>
    <row r="338" spans="1:12" x14ac:dyDescent="0.2">
      <c r="A338" t="s">
        <v>10</v>
      </c>
      <c r="B338" t="s">
        <v>11</v>
      </c>
      <c r="C338" t="s">
        <v>12</v>
      </c>
      <c r="D338">
        <v>28</v>
      </c>
      <c r="E338" t="s">
        <v>23</v>
      </c>
      <c r="F338">
        <v>4</v>
      </c>
      <c r="G338">
        <v>2024</v>
      </c>
      <c r="H338">
        <v>16</v>
      </c>
      <c r="I338">
        <v>528</v>
      </c>
      <c r="J338">
        <v>30</v>
      </c>
      <c r="K338">
        <v>33</v>
      </c>
      <c r="L338" s="1">
        <f>DATE(sales__2[[#This Row],[year]],sales__2[[#This Row],[month]],1)</f>
        <v>45383</v>
      </c>
    </row>
    <row r="339" spans="1:12" x14ac:dyDescent="0.2">
      <c r="A339" t="s">
        <v>10</v>
      </c>
      <c r="B339" t="s">
        <v>11</v>
      </c>
      <c r="C339" t="s">
        <v>12</v>
      </c>
      <c r="D339">
        <v>28</v>
      </c>
      <c r="E339" t="s">
        <v>25</v>
      </c>
      <c r="F339">
        <v>4</v>
      </c>
      <c r="G339">
        <v>2024</v>
      </c>
      <c r="H339">
        <v>12</v>
      </c>
      <c r="I339">
        <v>396</v>
      </c>
      <c r="J339">
        <v>25</v>
      </c>
      <c r="K339">
        <v>33</v>
      </c>
      <c r="L339" s="1">
        <f>DATE(sales__2[[#This Row],[year]],sales__2[[#This Row],[month]],1)</f>
        <v>45383</v>
      </c>
    </row>
    <row r="340" spans="1:12" x14ac:dyDescent="0.2">
      <c r="A340" t="s">
        <v>13</v>
      </c>
      <c r="B340" t="s">
        <v>14</v>
      </c>
      <c r="C340" t="s">
        <v>12</v>
      </c>
      <c r="D340">
        <v>32</v>
      </c>
      <c r="E340" t="s">
        <v>23</v>
      </c>
      <c r="F340">
        <v>4</v>
      </c>
      <c r="G340">
        <v>2024</v>
      </c>
      <c r="H340">
        <v>10</v>
      </c>
      <c r="I340">
        <v>380</v>
      </c>
      <c r="J340">
        <v>22</v>
      </c>
      <c r="K340">
        <v>38</v>
      </c>
      <c r="L340" s="1">
        <f>DATE(sales__2[[#This Row],[year]],sales__2[[#This Row],[month]],1)</f>
        <v>45383</v>
      </c>
    </row>
    <row r="341" spans="1:12" x14ac:dyDescent="0.2">
      <c r="A341" t="s">
        <v>15</v>
      </c>
      <c r="B341" t="s">
        <v>16</v>
      </c>
      <c r="C341" t="s">
        <v>12</v>
      </c>
      <c r="D341">
        <v>18</v>
      </c>
      <c r="E341" t="s">
        <v>23</v>
      </c>
      <c r="F341">
        <v>4</v>
      </c>
      <c r="G341">
        <v>2024</v>
      </c>
      <c r="H341">
        <v>18</v>
      </c>
      <c r="I341">
        <v>378</v>
      </c>
      <c r="J341">
        <v>35</v>
      </c>
      <c r="K341">
        <v>21</v>
      </c>
      <c r="L341" s="1">
        <f>DATE(sales__2[[#This Row],[year]],sales__2[[#This Row],[month]],1)</f>
        <v>45383</v>
      </c>
    </row>
    <row r="342" spans="1:12" x14ac:dyDescent="0.2">
      <c r="A342" t="s">
        <v>17</v>
      </c>
      <c r="B342" t="s">
        <v>18</v>
      </c>
      <c r="C342" t="s">
        <v>12</v>
      </c>
      <c r="D342">
        <v>45</v>
      </c>
      <c r="E342" t="s">
        <v>23</v>
      </c>
      <c r="F342">
        <v>4</v>
      </c>
      <c r="G342">
        <v>2024</v>
      </c>
      <c r="H342">
        <v>5</v>
      </c>
      <c r="I342">
        <v>270</v>
      </c>
      <c r="J342">
        <v>12</v>
      </c>
      <c r="K342">
        <v>54</v>
      </c>
      <c r="L342" s="1">
        <f>DATE(sales__2[[#This Row],[year]],sales__2[[#This Row],[month]],1)</f>
        <v>45383</v>
      </c>
    </row>
    <row r="343" spans="1:12" x14ac:dyDescent="0.2">
      <c r="A343" t="s">
        <v>19</v>
      </c>
      <c r="B343" t="s">
        <v>16</v>
      </c>
      <c r="C343" t="s">
        <v>12</v>
      </c>
      <c r="D343">
        <v>15</v>
      </c>
      <c r="E343" t="s">
        <v>23</v>
      </c>
      <c r="F343">
        <v>4</v>
      </c>
      <c r="G343">
        <v>2024</v>
      </c>
      <c r="H343">
        <v>25</v>
      </c>
      <c r="I343">
        <v>450</v>
      </c>
      <c r="J343">
        <v>50</v>
      </c>
      <c r="K343">
        <v>18</v>
      </c>
      <c r="L343" s="1">
        <f>DATE(sales__2[[#This Row],[year]],sales__2[[#This Row],[month]],1)</f>
        <v>45383</v>
      </c>
    </row>
    <row r="344" spans="1:12" x14ac:dyDescent="0.2">
      <c r="A344" t="s">
        <v>19</v>
      </c>
      <c r="B344" t="s">
        <v>16</v>
      </c>
      <c r="C344" t="s">
        <v>12</v>
      </c>
      <c r="D344">
        <v>15</v>
      </c>
      <c r="E344" t="s">
        <v>25</v>
      </c>
      <c r="F344">
        <v>4</v>
      </c>
      <c r="G344">
        <v>2024</v>
      </c>
      <c r="H344">
        <v>22</v>
      </c>
      <c r="I344">
        <v>396</v>
      </c>
      <c r="J344">
        <v>45</v>
      </c>
      <c r="K344">
        <v>18</v>
      </c>
      <c r="L344" s="1">
        <f>DATE(sales__2[[#This Row],[year]],sales__2[[#This Row],[month]],1)</f>
        <v>45383</v>
      </c>
    </row>
    <row r="345" spans="1:12" x14ac:dyDescent="0.2">
      <c r="A345" t="s">
        <v>10</v>
      </c>
      <c r="B345" t="s">
        <v>11</v>
      </c>
      <c r="C345" t="s">
        <v>12</v>
      </c>
      <c r="D345">
        <v>30</v>
      </c>
      <c r="E345" t="s">
        <v>23</v>
      </c>
      <c r="F345">
        <v>4</v>
      </c>
      <c r="G345">
        <v>2024</v>
      </c>
      <c r="H345">
        <v>14</v>
      </c>
      <c r="I345">
        <v>476</v>
      </c>
      <c r="J345">
        <v>30</v>
      </c>
      <c r="K345">
        <v>34</v>
      </c>
      <c r="L345" s="1">
        <f>DATE(sales__2[[#This Row],[year]],sales__2[[#This Row],[month]],1)</f>
        <v>45383</v>
      </c>
    </row>
    <row r="346" spans="1:12" x14ac:dyDescent="0.2">
      <c r="A346" t="s">
        <v>13</v>
      </c>
      <c r="B346" t="s">
        <v>14</v>
      </c>
      <c r="C346" t="s">
        <v>20</v>
      </c>
      <c r="D346">
        <v>35</v>
      </c>
      <c r="E346" t="s">
        <v>23</v>
      </c>
      <c r="F346">
        <v>4</v>
      </c>
      <c r="G346">
        <v>2024</v>
      </c>
      <c r="H346">
        <v>8</v>
      </c>
      <c r="I346">
        <v>328</v>
      </c>
      <c r="J346">
        <v>20</v>
      </c>
      <c r="K346">
        <v>41</v>
      </c>
      <c r="L346" s="1">
        <f>DATE(sales__2[[#This Row],[year]],sales__2[[#This Row],[month]],1)</f>
        <v>45383</v>
      </c>
    </row>
    <row r="347" spans="1:12" x14ac:dyDescent="0.2">
      <c r="A347" t="s">
        <v>15</v>
      </c>
      <c r="B347" t="s">
        <v>16</v>
      </c>
      <c r="C347" t="s">
        <v>20</v>
      </c>
      <c r="D347">
        <v>20</v>
      </c>
      <c r="E347" t="s">
        <v>23</v>
      </c>
      <c r="F347">
        <v>4</v>
      </c>
      <c r="G347">
        <v>2024</v>
      </c>
      <c r="H347">
        <v>15</v>
      </c>
      <c r="I347">
        <v>368</v>
      </c>
      <c r="J347">
        <v>35</v>
      </c>
      <c r="K347">
        <v>23</v>
      </c>
      <c r="L347" s="1">
        <f>DATE(sales__2[[#This Row],[year]],sales__2[[#This Row],[month]],1)</f>
        <v>45383</v>
      </c>
    </row>
    <row r="348" spans="1:12" x14ac:dyDescent="0.2">
      <c r="A348" t="s">
        <v>17</v>
      </c>
      <c r="B348" t="s">
        <v>18</v>
      </c>
      <c r="C348" t="s">
        <v>20</v>
      </c>
      <c r="D348">
        <v>48</v>
      </c>
      <c r="E348" t="s">
        <v>23</v>
      </c>
      <c r="F348">
        <v>4</v>
      </c>
      <c r="G348">
        <v>2024</v>
      </c>
      <c r="H348">
        <v>4</v>
      </c>
      <c r="I348">
        <v>236</v>
      </c>
      <c r="J348">
        <v>10</v>
      </c>
      <c r="K348">
        <v>59</v>
      </c>
      <c r="L348" s="1">
        <f>DATE(sales__2[[#This Row],[year]],sales__2[[#This Row],[month]],1)</f>
        <v>45383</v>
      </c>
    </row>
    <row r="349" spans="1:12" x14ac:dyDescent="0.2">
      <c r="A349" t="s">
        <v>19</v>
      </c>
      <c r="B349" t="s">
        <v>16</v>
      </c>
      <c r="C349" t="s">
        <v>20</v>
      </c>
      <c r="D349">
        <v>17</v>
      </c>
      <c r="E349" t="s">
        <v>23</v>
      </c>
      <c r="F349">
        <v>4</v>
      </c>
      <c r="G349">
        <v>2024</v>
      </c>
      <c r="H349">
        <v>19</v>
      </c>
      <c r="I349">
        <v>399</v>
      </c>
      <c r="J349">
        <v>40</v>
      </c>
      <c r="K349">
        <v>21</v>
      </c>
      <c r="L349" s="1">
        <f>DATE(sales__2[[#This Row],[year]],sales__2[[#This Row],[month]],1)</f>
        <v>45383</v>
      </c>
    </row>
    <row r="350" spans="1:12" x14ac:dyDescent="0.2">
      <c r="A350" t="s">
        <v>21</v>
      </c>
      <c r="B350" t="s">
        <v>11</v>
      </c>
      <c r="C350" t="s">
        <v>20</v>
      </c>
      <c r="D350">
        <v>33</v>
      </c>
      <c r="E350" t="s">
        <v>23</v>
      </c>
      <c r="F350">
        <v>4</v>
      </c>
      <c r="G350">
        <v>2024</v>
      </c>
      <c r="H350">
        <v>11</v>
      </c>
      <c r="I350">
        <v>420</v>
      </c>
      <c r="J350">
        <v>22</v>
      </c>
      <c r="K350">
        <v>42</v>
      </c>
      <c r="L350" s="1">
        <f>DATE(sales__2[[#This Row],[year]],sales__2[[#This Row],[month]],1)</f>
        <v>45383</v>
      </c>
    </row>
    <row r="351" spans="1:12" x14ac:dyDescent="0.2">
      <c r="A351" t="s">
        <v>10</v>
      </c>
      <c r="B351" t="s">
        <v>11</v>
      </c>
      <c r="C351" t="s">
        <v>12</v>
      </c>
      <c r="D351">
        <v>28</v>
      </c>
      <c r="E351" t="s">
        <v>23</v>
      </c>
      <c r="F351">
        <v>5</v>
      </c>
      <c r="G351">
        <v>2024</v>
      </c>
      <c r="H351">
        <v>18</v>
      </c>
      <c r="I351">
        <v>594</v>
      </c>
      <c r="J351">
        <v>35</v>
      </c>
      <c r="K351">
        <v>33</v>
      </c>
      <c r="L351" s="1">
        <f>DATE(sales__2[[#This Row],[year]],sales__2[[#This Row],[month]],1)</f>
        <v>45413</v>
      </c>
    </row>
    <row r="352" spans="1:12" x14ac:dyDescent="0.2">
      <c r="A352" t="s">
        <v>10</v>
      </c>
      <c r="B352" t="s">
        <v>11</v>
      </c>
      <c r="C352" t="s">
        <v>12</v>
      </c>
      <c r="D352">
        <v>28</v>
      </c>
      <c r="E352" t="s">
        <v>27</v>
      </c>
      <c r="F352">
        <v>5</v>
      </c>
      <c r="G352">
        <v>2024</v>
      </c>
      <c r="H352">
        <v>14</v>
      </c>
      <c r="I352">
        <v>462</v>
      </c>
      <c r="J352">
        <v>30</v>
      </c>
      <c r="K352">
        <v>33</v>
      </c>
      <c r="L352" s="1">
        <f>DATE(sales__2[[#This Row],[year]],sales__2[[#This Row],[month]],1)</f>
        <v>45413</v>
      </c>
    </row>
    <row r="353" spans="1:12" x14ac:dyDescent="0.2">
      <c r="A353" t="s">
        <v>13</v>
      </c>
      <c r="B353" t="s">
        <v>14</v>
      </c>
      <c r="C353" t="s">
        <v>12</v>
      </c>
      <c r="D353">
        <v>32</v>
      </c>
      <c r="E353" t="s">
        <v>23</v>
      </c>
      <c r="F353">
        <v>5</v>
      </c>
      <c r="G353">
        <v>2024</v>
      </c>
      <c r="H353">
        <v>12</v>
      </c>
      <c r="I353">
        <v>456</v>
      </c>
      <c r="J353">
        <v>25</v>
      </c>
      <c r="K353">
        <v>38</v>
      </c>
      <c r="L353" s="1">
        <f>DATE(sales__2[[#This Row],[year]],sales__2[[#This Row],[month]],1)</f>
        <v>45413</v>
      </c>
    </row>
    <row r="354" spans="1:12" x14ac:dyDescent="0.2">
      <c r="A354" t="s">
        <v>15</v>
      </c>
      <c r="B354" t="s">
        <v>16</v>
      </c>
      <c r="C354" t="s">
        <v>12</v>
      </c>
      <c r="D354">
        <v>18</v>
      </c>
      <c r="E354" t="s">
        <v>23</v>
      </c>
      <c r="F354">
        <v>5</v>
      </c>
      <c r="G354">
        <v>2024</v>
      </c>
      <c r="H354">
        <v>20</v>
      </c>
      <c r="I354">
        <v>420</v>
      </c>
      <c r="J354">
        <v>40</v>
      </c>
      <c r="K354">
        <v>21</v>
      </c>
      <c r="L354" s="1">
        <f>DATE(sales__2[[#This Row],[year]],sales__2[[#This Row],[month]],1)</f>
        <v>45413</v>
      </c>
    </row>
    <row r="355" spans="1:12" x14ac:dyDescent="0.2">
      <c r="A355" t="s">
        <v>15</v>
      </c>
      <c r="B355" t="s">
        <v>16</v>
      </c>
      <c r="C355" t="s">
        <v>12</v>
      </c>
      <c r="D355">
        <v>18</v>
      </c>
      <c r="E355" t="s">
        <v>28</v>
      </c>
      <c r="F355">
        <v>5</v>
      </c>
      <c r="G355">
        <v>2024</v>
      </c>
      <c r="H355">
        <v>13</v>
      </c>
      <c r="I355">
        <v>252</v>
      </c>
      <c r="J355">
        <v>25</v>
      </c>
      <c r="K355">
        <v>21</v>
      </c>
      <c r="L355" s="1">
        <f>DATE(sales__2[[#This Row],[year]],sales__2[[#This Row],[month]],1)</f>
        <v>45413</v>
      </c>
    </row>
    <row r="356" spans="1:12" x14ac:dyDescent="0.2">
      <c r="A356" t="s">
        <v>19</v>
      </c>
      <c r="B356" t="s">
        <v>16</v>
      </c>
      <c r="C356" t="s">
        <v>12</v>
      </c>
      <c r="D356">
        <v>15</v>
      </c>
      <c r="E356" t="s">
        <v>23</v>
      </c>
      <c r="F356">
        <v>5</v>
      </c>
      <c r="G356">
        <v>2024</v>
      </c>
      <c r="H356">
        <v>25</v>
      </c>
      <c r="I356">
        <v>450</v>
      </c>
      <c r="J356">
        <v>50</v>
      </c>
      <c r="K356">
        <v>18</v>
      </c>
      <c r="L356" s="1">
        <f>DATE(sales__2[[#This Row],[year]],sales__2[[#This Row],[month]],1)</f>
        <v>45413</v>
      </c>
    </row>
    <row r="357" spans="1:12" x14ac:dyDescent="0.2">
      <c r="A357" t="s">
        <v>19</v>
      </c>
      <c r="B357" t="s">
        <v>16</v>
      </c>
      <c r="C357" t="s">
        <v>12</v>
      </c>
      <c r="D357">
        <v>15</v>
      </c>
      <c r="E357" t="s">
        <v>27</v>
      </c>
      <c r="F357">
        <v>5</v>
      </c>
      <c r="G357">
        <v>2024</v>
      </c>
      <c r="H357">
        <v>20</v>
      </c>
      <c r="I357">
        <v>360</v>
      </c>
      <c r="J357">
        <v>40</v>
      </c>
      <c r="K357">
        <v>18</v>
      </c>
      <c r="L357" s="1">
        <f>DATE(sales__2[[#This Row],[year]],sales__2[[#This Row],[month]],1)</f>
        <v>45413</v>
      </c>
    </row>
    <row r="358" spans="1:12" x14ac:dyDescent="0.2">
      <c r="A358" t="s">
        <v>10</v>
      </c>
      <c r="B358" t="s">
        <v>11</v>
      </c>
      <c r="C358" t="s">
        <v>12</v>
      </c>
      <c r="D358">
        <v>30</v>
      </c>
      <c r="E358" t="s">
        <v>23</v>
      </c>
      <c r="F358">
        <v>5</v>
      </c>
      <c r="G358">
        <v>2024</v>
      </c>
      <c r="H358">
        <v>15</v>
      </c>
      <c r="I358">
        <v>510</v>
      </c>
      <c r="J358">
        <v>30</v>
      </c>
      <c r="K358">
        <v>34</v>
      </c>
      <c r="L358" s="1">
        <f>DATE(sales__2[[#This Row],[year]],sales__2[[#This Row],[month]],1)</f>
        <v>45413</v>
      </c>
    </row>
    <row r="359" spans="1:12" x14ac:dyDescent="0.2">
      <c r="A359" t="s">
        <v>15</v>
      </c>
      <c r="B359" t="s">
        <v>16</v>
      </c>
      <c r="C359" t="s">
        <v>20</v>
      </c>
      <c r="D359">
        <v>20</v>
      </c>
      <c r="E359" t="s">
        <v>23</v>
      </c>
      <c r="F359">
        <v>5</v>
      </c>
      <c r="G359">
        <v>2024</v>
      </c>
      <c r="H359">
        <v>17</v>
      </c>
      <c r="I359">
        <v>391</v>
      </c>
      <c r="J359">
        <v>35</v>
      </c>
      <c r="K359">
        <v>23</v>
      </c>
      <c r="L359" s="1">
        <f>DATE(sales__2[[#This Row],[year]],sales__2[[#This Row],[month]],1)</f>
        <v>45413</v>
      </c>
    </row>
    <row r="360" spans="1:12" x14ac:dyDescent="0.2">
      <c r="A360" t="s">
        <v>19</v>
      </c>
      <c r="B360" t="s">
        <v>16</v>
      </c>
      <c r="C360" t="s">
        <v>20</v>
      </c>
      <c r="D360">
        <v>17</v>
      </c>
      <c r="E360" t="s">
        <v>23</v>
      </c>
      <c r="F360">
        <v>5</v>
      </c>
      <c r="G360">
        <v>2024</v>
      </c>
      <c r="H360">
        <v>21</v>
      </c>
      <c r="I360">
        <v>420</v>
      </c>
      <c r="J360">
        <v>40</v>
      </c>
      <c r="K360">
        <v>21</v>
      </c>
      <c r="L360" s="1">
        <f>DATE(sales__2[[#This Row],[year]],sales__2[[#This Row],[month]],1)</f>
        <v>45413</v>
      </c>
    </row>
    <row r="361" spans="1:12" x14ac:dyDescent="0.2">
      <c r="A361" t="s">
        <v>21</v>
      </c>
      <c r="B361" t="s">
        <v>11</v>
      </c>
      <c r="C361" t="s">
        <v>20</v>
      </c>
      <c r="D361">
        <v>33</v>
      </c>
      <c r="E361" t="s">
        <v>23</v>
      </c>
      <c r="F361">
        <v>5</v>
      </c>
      <c r="G361">
        <v>2024</v>
      </c>
      <c r="H361">
        <v>10</v>
      </c>
      <c r="I361">
        <v>420</v>
      </c>
      <c r="J361">
        <v>22</v>
      </c>
      <c r="K361">
        <v>42</v>
      </c>
      <c r="L361" s="1">
        <f>DATE(sales__2[[#This Row],[year]],sales__2[[#This Row],[month]],1)</f>
        <v>45413</v>
      </c>
    </row>
    <row r="362" spans="1:12" x14ac:dyDescent="0.2">
      <c r="A362" t="s">
        <v>10</v>
      </c>
      <c r="B362" t="s">
        <v>11</v>
      </c>
      <c r="C362" t="s">
        <v>12</v>
      </c>
      <c r="D362">
        <v>28</v>
      </c>
      <c r="E362" t="s">
        <v>23</v>
      </c>
      <c r="F362">
        <v>6</v>
      </c>
      <c r="G362">
        <v>2024</v>
      </c>
      <c r="H362">
        <v>18</v>
      </c>
      <c r="I362">
        <v>594</v>
      </c>
      <c r="J362">
        <v>40</v>
      </c>
      <c r="K362">
        <v>33</v>
      </c>
      <c r="L362" s="1">
        <f>DATE(sales__2[[#This Row],[year]],sales__2[[#This Row],[month]],1)</f>
        <v>45444</v>
      </c>
    </row>
    <row r="363" spans="1:12" x14ac:dyDescent="0.2">
      <c r="A363" t="s">
        <v>10</v>
      </c>
      <c r="B363" t="s">
        <v>11</v>
      </c>
      <c r="C363" t="s">
        <v>12</v>
      </c>
      <c r="D363">
        <v>28</v>
      </c>
      <c r="E363" t="s">
        <v>25</v>
      </c>
      <c r="F363">
        <v>6</v>
      </c>
      <c r="G363">
        <v>2024</v>
      </c>
      <c r="H363">
        <v>15</v>
      </c>
      <c r="I363">
        <v>495</v>
      </c>
      <c r="J363">
        <v>30</v>
      </c>
      <c r="K363">
        <v>33</v>
      </c>
      <c r="L363" s="1">
        <f>DATE(sales__2[[#This Row],[year]],sales__2[[#This Row],[month]],1)</f>
        <v>45444</v>
      </c>
    </row>
    <row r="364" spans="1:12" x14ac:dyDescent="0.2">
      <c r="A364" t="s">
        <v>13</v>
      </c>
      <c r="B364" t="s">
        <v>14</v>
      </c>
      <c r="C364" t="s">
        <v>12</v>
      </c>
      <c r="D364">
        <v>32</v>
      </c>
      <c r="E364" t="s">
        <v>23</v>
      </c>
      <c r="F364">
        <v>6</v>
      </c>
      <c r="G364">
        <v>2024</v>
      </c>
      <c r="H364">
        <v>12</v>
      </c>
      <c r="I364">
        <v>456</v>
      </c>
      <c r="J364">
        <v>25</v>
      </c>
      <c r="K364">
        <v>38</v>
      </c>
      <c r="L364" s="1">
        <f>DATE(sales__2[[#This Row],[year]],sales__2[[#This Row],[month]],1)</f>
        <v>45444</v>
      </c>
    </row>
    <row r="365" spans="1:12" x14ac:dyDescent="0.2">
      <c r="A365" t="s">
        <v>15</v>
      </c>
      <c r="B365" t="s">
        <v>16</v>
      </c>
      <c r="C365" t="s">
        <v>12</v>
      </c>
      <c r="D365">
        <v>18</v>
      </c>
      <c r="E365" t="s">
        <v>23</v>
      </c>
      <c r="F365">
        <v>6</v>
      </c>
      <c r="G365">
        <v>2024</v>
      </c>
      <c r="H365">
        <v>22</v>
      </c>
      <c r="I365">
        <v>462</v>
      </c>
      <c r="J365">
        <v>45</v>
      </c>
      <c r="K365">
        <v>21</v>
      </c>
      <c r="L365" s="1">
        <f>DATE(sales__2[[#This Row],[year]],sales__2[[#This Row],[month]],1)</f>
        <v>45444</v>
      </c>
    </row>
    <row r="366" spans="1:12" x14ac:dyDescent="0.2">
      <c r="A366" t="s">
        <v>15</v>
      </c>
      <c r="B366" t="s">
        <v>16</v>
      </c>
      <c r="C366" t="s">
        <v>12</v>
      </c>
      <c r="D366">
        <v>18</v>
      </c>
      <c r="E366" t="s">
        <v>25</v>
      </c>
      <c r="F366">
        <v>6</v>
      </c>
      <c r="G366">
        <v>2024</v>
      </c>
      <c r="H366">
        <v>25</v>
      </c>
      <c r="I366">
        <v>525</v>
      </c>
      <c r="J366">
        <v>50</v>
      </c>
      <c r="K366">
        <v>21</v>
      </c>
      <c r="L366" s="1">
        <f>DATE(sales__2[[#This Row],[year]],sales__2[[#This Row],[month]],1)</f>
        <v>45444</v>
      </c>
    </row>
    <row r="367" spans="1:12" x14ac:dyDescent="0.2">
      <c r="A367" t="s">
        <v>19</v>
      </c>
      <c r="B367" t="s">
        <v>16</v>
      </c>
      <c r="C367" t="s">
        <v>12</v>
      </c>
      <c r="D367">
        <v>15</v>
      </c>
      <c r="E367" t="s">
        <v>23</v>
      </c>
      <c r="F367">
        <v>6</v>
      </c>
      <c r="G367">
        <v>2024</v>
      </c>
      <c r="H367">
        <v>28</v>
      </c>
      <c r="I367">
        <v>504</v>
      </c>
      <c r="J367">
        <v>55</v>
      </c>
      <c r="K367">
        <v>18</v>
      </c>
      <c r="L367" s="1">
        <f>DATE(sales__2[[#This Row],[year]],sales__2[[#This Row],[month]],1)</f>
        <v>45444</v>
      </c>
    </row>
    <row r="368" spans="1:12" x14ac:dyDescent="0.2">
      <c r="A368" t="s">
        <v>19</v>
      </c>
      <c r="B368" t="s">
        <v>16</v>
      </c>
      <c r="C368" t="s">
        <v>12</v>
      </c>
      <c r="D368">
        <v>15</v>
      </c>
      <c r="E368" t="s">
        <v>25</v>
      </c>
      <c r="F368">
        <v>6</v>
      </c>
      <c r="G368">
        <v>2024</v>
      </c>
      <c r="H368">
        <v>26</v>
      </c>
      <c r="I368">
        <v>450</v>
      </c>
      <c r="J368">
        <v>50</v>
      </c>
      <c r="K368">
        <v>18</v>
      </c>
      <c r="L368" s="1">
        <f>DATE(sales__2[[#This Row],[year]],sales__2[[#This Row],[month]],1)</f>
        <v>45444</v>
      </c>
    </row>
    <row r="369" spans="1:12" x14ac:dyDescent="0.2">
      <c r="A369" t="s">
        <v>19</v>
      </c>
      <c r="B369" t="s">
        <v>16</v>
      </c>
      <c r="C369" t="s">
        <v>12</v>
      </c>
      <c r="D369">
        <v>15</v>
      </c>
      <c r="E369" t="s">
        <v>27</v>
      </c>
      <c r="F369">
        <v>6</v>
      </c>
      <c r="G369">
        <v>2024</v>
      </c>
      <c r="H369">
        <v>22</v>
      </c>
      <c r="I369">
        <v>396</v>
      </c>
      <c r="J369">
        <v>45</v>
      </c>
      <c r="K369">
        <v>18</v>
      </c>
      <c r="L369" s="1">
        <f>DATE(sales__2[[#This Row],[year]],sales__2[[#This Row],[month]],1)</f>
        <v>45444</v>
      </c>
    </row>
    <row r="370" spans="1:12" x14ac:dyDescent="0.2">
      <c r="A370" t="s">
        <v>10</v>
      </c>
      <c r="B370" t="s">
        <v>11</v>
      </c>
      <c r="C370" t="s">
        <v>12</v>
      </c>
      <c r="D370">
        <v>30</v>
      </c>
      <c r="E370" t="s">
        <v>23</v>
      </c>
      <c r="F370">
        <v>6</v>
      </c>
      <c r="G370">
        <v>2024</v>
      </c>
      <c r="H370">
        <v>17</v>
      </c>
      <c r="I370">
        <v>578</v>
      </c>
      <c r="J370">
        <v>35</v>
      </c>
      <c r="K370">
        <v>34</v>
      </c>
      <c r="L370" s="1">
        <f>DATE(sales__2[[#This Row],[year]],sales__2[[#This Row],[month]],1)</f>
        <v>45444</v>
      </c>
    </row>
    <row r="371" spans="1:12" x14ac:dyDescent="0.2">
      <c r="A371" t="s">
        <v>13</v>
      </c>
      <c r="B371" t="s">
        <v>14</v>
      </c>
      <c r="C371" t="s">
        <v>20</v>
      </c>
      <c r="D371">
        <v>35</v>
      </c>
      <c r="E371" t="s">
        <v>23</v>
      </c>
      <c r="F371">
        <v>6</v>
      </c>
      <c r="G371">
        <v>2024</v>
      </c>
      <c r="H371">
        <v>9</v>
      </c>
      <c r="I371">
        <v>369</v>
      </c>
      <c r="J371">
        <v>20</v>
      </c>
      <c r="K371">
        <v>41</v>
      </c>
      <c r="L371" s="1">
        <f>DATE(sales__2[[#This Row],[year]],sales__2[[#This Row],[month]],1)</f>
        <v>45444</v>
      </c>
    </row>
    <row r="372" spans="1:12" x14ac:dyDescent="0.2">
      <c r="A372" t="s">
        <v>15</v>
      </c>
      <c r="B372" t="s">
        <v>16</v>
      </c>
      <c r="C372" t="s">
        <v>20</v>
      </c>
      <c r="D372">
        <v>20</v>
      </c>
      <c r="E372" t="s">
        <v>23</v>
      </c>
      <c r="F372">
        <v>6</v>
      </c>
      <c r="G372">
        <v>2024</v>
      </c>
      <c r="H372">
        <v>20</v>
      </c>
      <c r="I372">
        <v>437</v>
      </c>
      <c r="J372">
        <v>40</v>
      </c>
      <c r="K372">
        <v>23</v>
      </c>
      <c r="L372" s="1">
        <f>DATE(sales__2[[#This Row],[year]],sales__2[[#This Row],[month]],1)</f>
        <v>45444</v>
      </c>
    </row>
    <row r="373" spans="1:12" x14ac:dyDescent="0.2">
      <c r="A373" t="s">
        <v>19</v>
      </c>
      <c r="B373" t="s">
        <v>16</v>
      </c>
      <c r="C373" t="s">
        <v>20</v>
      </c>
      <c r="D373">
        <v>17</v>
      </c>
      <c r="E373" t="s">
        <v>23</v>
      </c>
      <c r="F373">
        <v>6</v>
      </c>
      <c r="G373">
        <v>2024</v>
      </c>
      <c r="H373">
        <v>23</v>
      </c>
      <c r="I373">
        <v>483</v>
      </c>
      <c r="J373">
        <v>45</v>
      </c>
      <c r="K373">
        <v>21</v>
      </c>
      <c r="L373" s="1">
        <f>DATE(sales__2[[#This Row],[year]],sales__2[[#This Row],[month]],1)</f>
        <v>45444</v>
      </c>
    </row>
    <row r="374" spans="1:12" x14ac:dyDescent="0.2">
      <c r="A374" t="s">
        <v>21</v>
      </c>
      <c r="B374" t="s">
        <v>11</v>
      </c>
      <c r="C374" t="s">
        <v>20</v>
      </c>
      <c r="D374">
        <v>33</v>
      </c>
      <c r="E374" t="s">
        <v>23</v>
      </c>
      <c r="F374">
        <v>6</v>
      </c>
      <c r="G374">
        <v>2024</v>
      </c>
      <c r="H374">
        <v>12</v>
      </c>
      <c r="I374">
        <v>504</v>
      </c>
      <c r="J374">
        <v>25</v>
      </c>
      <c r="K374">
        <v>42</v>
      </c>
      <c r="L374" s="1">
        <f>DATE(sales__2[[#This Row],[year]],sales__2[[#This Row],[month]],1)</f>
        <v>45444</v>
      </c>
    </row>
    <row r="375" spans="1:12" x14ac:dyDescent="0.2">
      <c r="A375" t="s">
        <v>10</v>
      </c>
      <c r="B375" t="s">
        <v>11</v>
      </c>
      <c r="C375" t="s">
        <v>12</v>
      </c>
      <c r="D375">
        <v>28</v>
      </c>
      <c r="E375" t="s">
        <v>23</v>
      </c>
      <c r="F375">
        <v>7</v>
      </c>
      <c r="G375">
        <v>2024</v>
      </c>
      <c r="H375">
        <v>20</v>
      </c>
      <c r="I375">
        <v>660</v>
      </c>
      <c r="J375">
        <v>45</v>
      </c>
      <c r="K375">
        <v>33</v>
      </c>
      <c r="L375" s="1">
        <f>DATE(sales__2[[#This Row],[year]],sales__2[[#This Row],[month]],1)</f>
        <v>45474</v>
      </c>
    </row>
    <row r="376" spans="1:12" x14ac:dyDescent="0.2">
      <c r="A376" t="s">
        <v>10</v>
      </c>
      <c r="B376" t="s">
        <v>11</v>
      </c>
      <c r="C376" t="s">
        <v>12</v>
      </c>
      <c r="D376">
        <v>28</v>
      </c>
      <c r="E376" t="s">
        <v>27</v>
      </c>
      <c r="F376">
        <v>7</v>
      </c>
      <c r="G376">
        <v>2024</v>
      </c>
      <c r="H376">
        <v>16</v>
      </c>
      <c r="I376">
        <v>528</v>
      </c>
      <c r="J376">
        <v>35</v>
      </c>
      <c r="K376">
        <v>33</v>
      </c>
      <c r="L376" s="1">
        <f>DATE(sales__2[[#This Row],[year]],sales__2[[#This Row],[month]],1)</f>
        <v>45474</v>
      </c>
    </row>
    <row r="377" spans="1:12" x14ac:dyDescent="0.2">
      <c r="A377" t="s">
        <v>13</v>
      </c>
      <c r="B377" t="s">
        <v>14</v>
      </c>
      <c r="C377" t="s">
        <v>12</v>
      </c>
      <c r="D377">
        <v>32</v>
      </c>
      <c r="E377" t="s">
        <v>23</v>
      </c>
      <c r="F377">
        <v>7</v>
      </c>
      <c r="G377">
        <v>2024</v>
      </c>
      <c r="H377">
        <v>15</v>
      </c>
      <c r="I377">
        <v>532</v>
      </c>
      <c r="J377">
        <v>30</v>
      </c>
      <c r="K377">
        <v>38</v>
      </c>
      <c r="L377" s="1">
        <f>DATE(sales__2[[#This Row],[year]],sales__2[[#This Row],[month]],1)</f>
        <v>45474</v>
      </c>
    </row>
    <row r="378" spans="1:12" x14ac:dyDescent="0.2">
      <c r="A378" t="s">
        <v>15</v>
      </c>
      <c r="B378" t="s">
        <v>16</v>
      </c>
      <c r="C378" t="s">
        <v>12</v>
      </c>
      <c r="D378">
        <v>18</v>
      </c>
      <c r="E378" t="s">
        <v>23</v>
      </c>
      <c r="F378">
        <v>7</v>
      </c>
      <c r="G378">
        <v>2024</v>
      </c>
      <c r="H378">
        <v>24</v>
      </c>
      <c r="I378">
        <v>525</v>
      </c>
      <c r="J378">
        <v>50</v>
      </c>
      <c r="K378">
        <v>21</v>
      </c>
      <c r="L378" s="1">
        <f>DATE(sales__2[[#This Row],[year]],sales__2[[#This Row],[month]],1)</f>
        <v>45474</v>
      </c>
    </row>
    <row r="379" spans="1:12" x14ac:dyDescent="0.2">
      <c r="A379" t="s">
        <v>15</v>
      </c>
      <c r="B379" t="s">
        <v>16</v>
      </c>
      <c r="C379" t="s">
        <v>12</v>
      </c>
      <c r="D379">
        <v>18</v>
      </c>
      <c r="E379" t="s">
        <v>25</v>
      </c>
      <c r="F379">
        <v>7</v>
      </c>
      <c r="G379">
        <v>2024</v>
      </c>
      <c r="H379">
        <v>30</v>
      </c>
      <c r="I379">
        <v>588</v>
      </c>
      <c r="J379">
        <v>55</v>
      </c>
      <c r="K379">
        <v>21</v>
      </c>
      <c r="L379" s="1">
        <f>DATE(sales__2[[#This Row],[year]],sales__2[[#This Row],[month]],1)</f>
        <v>45474</v>
      </c>
    </row>
    <row r="380" spans="1:12" x14ac:dyDescent="0.2">
      <c r="A380" t="s">
        <v>19</v>
      </c>
      <c r="B380" t="s">
        <v>16</v>
      </c>
      <c r="C380" t="s">
        <v>12</v>
      </c>
      <c r="D380">
        <v>15</v>
      </c>
      <c r="E380" t="s">
        <v>23</v>
      </c>
      <c r="F380">
        <v>7</v>
      </c>
      <c r="G380">
        <v>2024</v>
      </c>
      <c r="H380">
        <v>30</v>
      </c>
      <c r="I380">
        <v>540</v>
      </c>
      <c r="J380">
        <v>60</v>
      </c>
      <c r="K380">
        <v>18</v>
      </c>
      <c r="L380" s="1">
        <f>DATE(sales__2[[#This Row],[year]],sales__2[[#This Row],[month]],1)</f>
        <v>45474</v>
      </c>
    </row>
    <row r="381" spans="1:12" x14ac:dyDescent="0.2">
      <c r="A381" t="s">
        <v>19</v>
      </c>
      <c r="B381" t="s">
        <v>16</v>
      </c>
      <c r="C381" t="s">
        <v>12</v>
      </c>
      <c r="D381">
        <v>15</v>
      </c>
      <c r="E381" t="s">
        <v>25</v>
      </c>
      <c r="F381">
        <v>7</v>
      </c>
      <c r="G381">
        <v>2024</v>
      </c>
      <c r="H381">
        <v>28</v>
      </c>
      <c r="I381">
        <v>504</v>
      </c>
      <c r="J381">
        <v>55</v>
      </c>
      <c r="K381">
        <v>18</v>
      </c>
      <c r="L381" s="1">
        <f>DATE(sales__2[[#This Row],[year]],sales__2[[#This Row],[month]],1)</f>
        <v>45474</v>
      </c>
    </row>
    <row r="382" spans="1:12" x14ac:dyDescent="0.2">
      <c r="A382" t="s">
        <v>19</v>
      </c>
      <c r="B382" t="s">
        <v>16</v>
      </c>
      <c r="C382" t="s">
        <v>12</v>
      </c>
      <c r="D382">
        <v>15</v>
      </c>
      <c r="E382" t="s">
        <v>27</v>
      </c>
      <c r="F382">
        <v>7</v>
      </c>
      <c r="G382">
        <v>2024</v>
      </c>
      <c r="H382">
        <v>25</v>
      </c>
      <c r="I382">
        <v>450</v>
      </c>
      <c r="J382">
        <v>50</v>
      </c>
      <c r="K382">
        <v>18</v>
      </c>
      <c r="L382" s="1">
        <f>DATE(sales__2[[#This Row],[year]],sales__2[[#This Row],[month]],1)</f>
        <v>45474</v>
      </c>
    </row>
    <row r="383" spans="1:12" x14ac:dyDescent="0.2">
      <c r="A383" t="s">
        <v>10</v>
      </c>
      <c r="B383" t="s">
        <v>11</v>
      </c>
      <c r="C383" t="s">
        <v>12</v>
      </c>
      <c r="D383">
        <v>30</v>
      </c>
      <c r="E383" t="s">
        <v>23</v>
      </c>
      <c r="F383">
        <v>7</v>
      </c>
      <c r="G383">
        <v>2024</v>
      </c>
      <c r="H383">
        <v>19</v>
      </c>
      <c r="I383">
        <v>646</v>
      </c>
      <c r="J383">
        <v>40</v>
      </c>
      <c r="K383">
        <v>34</v>
      </c>
      <c r="L383" s="1">
        <f>DATE(sales__2[[#This Row],[year]],sales__2[[#This Row],[month]],1)</f>
        <v>45474</v>
      </c>
    </row>
    <row r="384" spans="1:12" x14ac:dyDescent="0.2">
      <c r="A384" t="s">
        <v>13</v>
      </c>
      <c r="B384" t="s">
        <v>14</v>
      </c>
      <c r="C384" t="s">
        <v>20</v>
      </c>
      <c r="D384">
        <v>35</v>
      </c>
      <c r="E384" t="s">
        <v>23</v>
      </c>
      <c r="F384">
        <v>7</v>
      </c>
      <c r="G384">
        <v>2024</v>
      </c>
      <c r="H384">
        <v>10</v>
      </c>
      <c r="I384">
        <v>410</v>
      </c>
      <c r="J384">
        <v>22</v>
      </c>
      <c r="K384">
        <v>41</v>
      </c>
      <c r="L384" s="1">
        <f>DATE(sales__2[[#This Row],[year]],sales__2[[#This Row],[month]],1)</f>
        <v>45474</v>
      </c>
    </row>
    <row r="385" spans="1:12" x14ac:dyDescent="0.2">
      <c r="A385" t="s">
        <v>15</v>
      </c>
      <c r="B385" t="s">
        <v>16</v>
      </c>
      <c r="C385" t="s">
        <v>20</v>
      </c>
      <c r="D385">
        <v>20</v>
      </c>
      <c r="E385" t="s">
        <v>23</v>
      </c>
      <c r="F385">
        <v>7</v>
      </c>
      <c r="G385">
        <v>2024</v>
      </c>
      <c r="H385">
        <v>22</v>
      </c>
      <c r="I385">
        <v>506</v>
      </c>
      <c r="J385">
        <v>45</v>
      </c>
      <c r="K385">
        <v>23</v>
      </c>
      <c r="L385" s="1">
        <f>DATE(sales__2[[#This Row],[year]],sales__2[[#This Row],[month]],1)</f>
        <v>45474</v>
      </c>
    </row>
    <row r="386" spans="1:12" x14ac:dyDescent="0.2">
      <c r="A386" t="s">
        <v>19</v>
      </c>
      <c r="B386" t="s">
        <v>16</v>
      </c>
      <c r="C386" t="s">
        <v>20</v>
      </c>
      <c r="D386">
        <v>17</v>
      </c>
      <c r="E386" t="s">
        <v>23</v>
      </c>
      <c r="F386">
        <v>7</v>
      </c>
      <c r="G386">
        <v>2024</v>
      </c>
      <c r="H386">
        <v>26</v>
      </c>
      <c r="I386">
        <v>546</v>
      </c>
      <c r="J386">
        <v>50</v>
      </c>
      <c r="K386">
        <v>21</v>
      </c>
      <c r="L386" s="1">
        <f>DATE(sales__2[[#This Row],[year]],sales__2[[#This Row],[month]],1)</f>
        <v>45474</v>
      </c>
    </row>
    <row r="387" spans="1:12" x14ac:dyDescent="0.2">
      <c r="A387" t="s">
        <v>21</v>
      </c>
      <c r="B387" t="s">
        <v>11</v>
      </c>
      <c r="C387" t="s">
        <v>20</v>
      </c>
      <c r="D387">
        <v>33</v>
      </c>
      <c r="E387" t="s">
        <v>23</v>
      </c>
      <c r="F387">
        <v>7</v>
      </c>
      <c r="G387">
        <v>2024</v>
      </c>
      <c r="H387">
        <v>14</v>
      </c>
      <c r="I387">
        <v>588</v>
      </c>
      <c r="J387">
        <v>30</v>
      </c>
      <c r="K387">
        <v>42</v>
      </c>
      <c r="L387" s="1">
        <f>DATE(sales__2[[#This Row],[year]],sales__2[[#This Row],[month]],1)</f>
        <v>45474</v>
      </c>
    </row>
    <row r="388" spans="1:12" x14ac:dyDescent="0.2">
      <c r="A388" t="s">
        <v>10</v>
      </c>
      <c r="B388" t="s">
        <v>11</v>
      </c>
      <c r="C388" t="s">
        <v>12</v>
      </c>
      <c r="D388">
        <v>28</v>
      </c>
      <c r="E388" t="s">
        <v>23</v>
      </c>
      <c r="F388">
        <v>8</v>
      </c>
      <c r="G388">
        <v>2024</v>
      </c>
      <c r="H388">
        <v>18</v>
      </c>
      <c r="I388">
        <v>594</v>
      </c>
      <c r="J388">
        <v>40</v>
      </c>
      <c r="K388">
        <v>33</v>
      </c>
      <c r="L388" s="1">
        <f>DATE(sales__2[[#This Row],[year]],sales__2[[#This Row],[month]],1)</f>
        <v>45505</v>
      </c>
    </row>
    <row r="389" spans="1:12" x14ac:dyDescent="0.2">
      <c r="A389" t="s">
        <v>10</v>
      </c>
      <c r="B389" t="s">
        <v>11</v>
      </c>
      <c r="C389" t="s">
        <v>12</v>
      </c>
      <c r="D389">
        <v>28</v>
      </c>
      <c r="E389" t="s">
        <v>25</v>
      </c>
      <c r="F389">
        <v>8</v>
      </c>
      <c r="G389">
        <v>2024</v>
      </c>
      <c r="H389">
        <v>14</v>
      </c>
      <c r="I389">
        <v>462</v>
      </c>
      <c r="J389">
        <v>30</v>
      </c>
      <c r="K389">
        <v>33</v>
      </c>
      <c r="L389" s="1">
        <f>DATE(sales__2[[#This Row],[year]],sales__2[[#This Row],[month]],1)</f>
        <v>45505</v>
      </c>
    </row>
    <row r="390" spans="1:12" x14ac:dyDescent="0.2">
      <c r="A390" t="s">
        <v>13</v>
      </c>
      <c r="B390" t="s">
        <v>14</v>
      </c>
      <c r="C390" t="s">
        <v>12</v>
      </c>
      <c r="D390">
        <v>32</v>
      </c>
      <c r="E390" t="s">
        <v>23</v>
      </c>
      <c r="F390">
        <v>8</v>
      </c>
      <c r="G390">
        <v>2024</v>
      </c>
      <c r="H390">
        <v>13</v>
      </c>
      <c r="I390">
        <v>494</v>
      </c>
      <c r="J390">
        <v>30</v>
      </c>
      <c r="K390">
        <v>38</v>
      </c>
      <c r="L390" s="1">
        <f>DATE(sales__2[[#This Row],[year]],sales__2[[#This Row],[month]],1)</f>
        <v>45505</v>
      </c>
    </row>
    <row r="391" spans="1:12" x14ac:dyDescent="0.2">
      <c r="A391" t="s">
        <v>15</v>
      </c>
      <c r="B391" t="s">
        <v>16</v>
      </c>
      <c r="C391" t="s">
        <v>12</v>
      </c>
      <c r="D391">
        <v>18</v>
      </c>
      <c r="E391" t="s">
        <v>23</v>
      </c>
      <c r="F391">
        <v>8</v>
      </c>
      <c r="G391">
        <v>2024</v>
      </c>
      <c r="H391">
        <v>23</v>
      </c>
      <c r="I391">
        <v>483</v>
      </c>
      <c r="J391">
        <v>45</v>
      </c>
      <c r="K391">
        <v>21</v>
      </c>
      <c r="L391" s="1">
        <f>DATE(sales__2[[#This Row],[year]],sales__2[[#This Row],[month]],1)</f>
        <v>45505</v>
      </c>
    </row>
    <row r="392" spans="1:12" x14ac:dyDescent="0.2">
      <c r="A392" t="s">
        <v>15</v>
      </c>
      <c r="B392" t="s">
        <v>16</v>
      </c>
      <c r="C392" t="s">
        <v>12</v>
      </c>
      <c r="D392">
        <v>18</v>
      </c>
      <c r="E392" t="s">
        <v>25</v>
      </c>
      <c r="F392">
        <v>8</v>
      </c>
      <c r="G392">
        <v>2024</v>
      </c>
      <c r="H392">
        <v>25</v>
      </c>
      <c r="I392">
        <v>525</v>
      </c>
      <c r="J392">
        <v>50</v>
      </c>
      <c r="K392">
        <v>21</v>
      </c>
      <c r="L392" s="1">
        <f>DATE(sales__2[[#This Row],[year]],sales__2[[#This Row],[month]],1)</f>
        <v>45505</v>
      </c>
    </row>
    <row r="393" spans="1:12" x14ac:dyDescent="0.2">
      <c r="A393" t="s">
        <v>19</v>
      </c>
      <c r="B393" t="s">
        <v>16</v>
      </c>
      <c r="C393" t="s">
        <v>12</v>
      </c>
      <c r="D393">
        <v>15</v>
      </c>
      <c r="E393" t="s">
        <v>23</v>
      </c>
      <c r="F393">
        <v>8</v>
      </c>
      <c r="G393">
        <v>2024</v>
      </c>
      <c r="H393">
        <v>27</v>
      </c>
      <c r="I393">
        <v>486</v>
      </c>
      <c r="J393">
        <v>55</v>
      </c>
      <c r="K393">
        <v>18</v>
      </c>
      <c r="L393" s="1">
        <f>DATE(sales__2[[#This Row],[year]],sales__2[[#This Row],[month]],1)</f>
        <v>45505</v>
      </c>
    </row>
    <row r="394" spans="1:12" x14ac:dyDescent="0.2">
      <c r="A394" t="s">
        <v>19</v>
      </c>
      <c r="B394" t="s">
        <v>16</v>
      </c>
      <c r="C394" t="s">
        <v>12</v>
      </c>
      <c r="D394">
        <v>15</v>
      </c>
      <c r="E394" t="s">
        <v>25</v>
      </c>
      <c r="F394">
        <v>8</v>
      </c>
      <c r="G394">
        <v>2024</v>
      </c>
      <c r="H394">
        <v>25</v>
      </c>
      <c r="I394">
        <v>450</v>
      </c>
      <c r="J394">
        <v>50</v>
      </c>
      <c r="K394">
        <v>18</v>
      </c>
      <c r="L394" s="1">
        <f>DATE(sales__2[[#This Row],[year]],sales__2[[#This Row],[month]],1)</f>
        <v>45505</v>
      </c>
    </row>
    <row r="395" spans="1:12" x14ac:dyDescent="0.2">
      <c r="A395" t="s">
        <v>10</v>
      </c>
      <c r="B395" t="s">
        <v>11</v>
      </c>
      <c r="C395" t="s">
        <v>12</v>
      </c>
      <c r="D395">
        <v>30</v>
      </c>
      <c r="E395" t="s">
        <v>23</v>
      </c>
      <c r="F395">
        <v>8</v>
      </c>
      <c r="G395">
        <v>2024</v>
      </c>
      <c r="H395">
        <v>17</v>
      </c>
      <c r="I395">
        <v>578</v>
      </c>
      <c r="J395">
        <v>35</v>
      </c>
      <c r="K395">
        <v>34</v>
      </c>
      <c r="L395" s="1">
        <f>DATE(sales__2[[#This Row],[year]],sales__2[[#This Row],[month]],1)</f>
        <v>45505</v>
      </c>
    </row>
    <row r="396" spans="1:12" x14ac:dyDescent="0.2">
      <c r="A396" t="s">
        <v>13</v>
      </c>
      <c r="B396" t="s">
        <v>14</v>
      </c>
      <c r="C396" t="s">
        <v>20</v>
      </c>
      <c r="D396">
        <v>35</v>
      </c>
      <c r="E396" t="s">
        <v>23</v>
      </c>
      <c r="F396">
        <v>8</v>
      </c>
      <c r="G396">
        <v>2024</v>
      </c>
      <c r="H396">
        <v>9</v>
      </c>
      <c r="I396">
        <v>369</v>
      </c>
      <c r="J396">
        <v>20</v>
      </c>
      <c r="K396">
        <v>41</v>
      </c>
      <c r="L396" s="1">
        <f>DATE(sales__2[[#This Row],[year]],sales__2[[#This Row],[month]],1)</f>
        <v>45505</v>
      </c>
    </row>
    <row r="397" spans="1:12" x14ac:dyDescent="0.2">
      <c r="A397" t="s">
        <v>15</v>
      </c>
      <c r="B397" t="s">
        <v>16</v>
      </c>
      <c r="C397" t="s">
        <v>20</v>
      </c>
      <c r="D397">
        <v>20</v>
      </c>
      <c r="E397" t="s">
        <v>23</v>
      </c>
      <c r="F397">
        <v>8</v>
      </c>
      <c r="G397">
        <v>2024</v>
      </c>
      <c r="H397">
        <v>24</v>
      </c>
      <c r="I397">
        <v>460</v>
      </c>
      <c r="J397">
        <v>40</v>
      </c>
      <c r="K397">
        <v>23</v>
      </c>
      <c r="L397" s="1">
        <f>DATE(sales__2[[#This Row],[year]],sales__2[[#This Row],[month]],1)</f>
        <v>45505</v>
      </c>
    </row>
    <row r="398" spans="1:12" x14ac:dyDescent="0.2">
      <c r="A398" t="s">
        <v>19</v>
      </c>
      <c r="B398" t="s">
        <v>16</v>
      </c>
      <c r="C398" t="s">
        <v>20</v>
      </c>
      <c r="D398">
        <v>17</v>
      </c>
      <c r="E398" t="s">
        <v>23</v>
      </c>
      <c r="F398">
        <v>8</v>
      </c>
      <c r="G398">
        <v>2024</v>
      </c>
      <c r="H398">
        <v>24</v>
      </c>
      <c r="I398">
        <v>504</v>
      </c>
      <c r="J398">
        <v>45</v>
      </c>
      <c r="K398">
        <v>21</v>
      </c>
      <c r="L398" s="1">
        <f>DATE(sales__2[[#This Row],[year]],sales__2[[#This Row],[month]],1)</f>
        <v>45505</v>
      </c>
    </row>
    <row r="399" spans="1:12" x14ac:dyDescent="0.2">
      <c r="A399" t="s">
        <v>21</v>
      </c>
      <c r="B399" t="s">
        <v>11</v>
      </c>
      <c r="C399" t="s">
        <v>20</v>
      </c>
      <c r="D399">
        <v>33</v>
      </c>
      <c r="E399" t="s">
        <v>23</v>
      </c>
      <c r="F399">
        <v>8</v>
      </c>
      <c r="G399">
        <v>2024</v>
      </c>
      <c r="H399">
        <v>14</v>
      </c>
      <c r="I399">
        <v>546</v>
      </c>
      <c r="J399">
        <v>30</v>
      </c>
      <c r="K399">
        <v>42</v>
      </c>
      <c r="L399" s="1">
        <f>DATE(sales__2[[#This Row],[year]],sales__2[[#This Row],[month]],1)</f>
        <v>45505</v>
      </c>
    </row>
    <row r="400" spans="1:12" x14ac:dyDescent="0.2">
      <c r="A400" t="s">
        <v>10</v>
      </c>
      <c r="B400" t="s">
        <v>11</v>
      </c>
      <c r="C400" t="s">
        <v>12</v>
      </c>
      <c r="D400">
        <v>28</v>
      </c>
      <c r="E400" t="s">
        <v>23</v>
      </c>
      <c r="F400">
        <v>9</v>
      </c>
      <c r="G400">
        <v>2024</v>
      </c>
      <c r="H400">
        <v>15</v>
      </c>
      <c r="I400">
        <v>495</v>
      </c>
      <c r="J400">
        <v>35</v>
      </c>
      <c r="K400">
        <v>33</v>
      </c>
      <c r="L400" s="1">
        <f>DATE(sales__2[[#This Row],[year]],sales__2[[#This Row],[month]],1)</f>
        <v>45536</v>
      </c>
    </row>
    <row r="401" spans="1:12" x14ac:dyDescent="0.2">
      <c r="A401" t="s">
        <v>10</v>
      </c>
      <c r="B401" t="s">
        <v>11</v>
      </c>
      <c r="C401" t="s">
        <v>12</v>
      </c>
      <c r="D401">
        <v>28</v>
      </c>
      <c r="E401" t="s">
        <v>25</v>
      </c>
      <c r="F401">
        <v>9</v>
      </c>
      <c r="G401">
        <v>2024</v>
      </c>
      <c r="H401">
        <v>12</v>
      </c>
      <c r="I401">
        <v>396</v>
      </c>
      <c r="J401">
        <v>25</v>
      </c>
      <c r="K401">
        <v>33</v>
      </c>
      <c r="L401" s="1">
        <f>DATE(sales__2[[#This Row],[year]],sales__2[[#This Row],[month]],1)</f>
        <v>45536</v>
      </c>
    </row>
    <row r="402" spans="1:12" x14ac:dyDescent="0.2">
      <c r="A402" t="s">
        <v>13</v>
      </c>
      <c r="B402" t="s">
        <v>14</v>
      </c>
      <c r="C402" t="s">
        <v>12</v>
      </c>
      <c r="D402">
        <v>32</v>
      </c>
      <c r="E402" t="s">
        <v>23</v>
      </c>
      <c r="F402">
        <v>9</v>
      </c>
      <c r="G402">
        <v>2024</v>
      </c>
      <c r="H402">
        <v>11</v>
      </c>
      <c r="I402">
        <v>418</v>
      </c>
      <c r="J402">
        <v>25</v>
      </c>
      <c r="K402">
        <v>38</v>
      </c>
      <c r="L402" s="1">
        <f>DATE(sales__2[[#This Row],[year]],sales__2[[#This Row],[month]],1)</f>
        <v>45536</v>
      </c>
    </row>
    <row r="403" spans="1:12" x14ac:dyDescent="0.2">
      <c r="A403" t="s">
        <v>15</v>
      </c>
      <c r="B403" t="s">
        <v>16</v>
      </c>
      <c r="C403" t="s">
        <v>12</v>
      </c>
      <c r="D403">
        <v>18</v>
      </c>
      <c r="E403" t="s">
        <v>23</v>
      </c>
      <c r="F403">
        <v>9</v>
      </c>
      <c r="G403">
        <v>2024</v>
      </c>
      <c r="H403">
        <v>20</v>
      </c>
      <c r="I403">
        <v>420</v>
      </c>
      <c r="J403">
        <v>40</v>
      </c>
      <c r="K403">
        <v>21</v>
      </c>
      <c r="L403" s="1">
        <f>DATE(sales__2[[#This Row],[year]],sales__2[[#This Row],[month]],1)</f>
        <v>45536</v>
      </c>
    </row>
    <row r="404" spans="1:12" x14ac:dyDescent="0.2">
      <c r="A404" t="s">
        <v>15</v>
      </c>
      <c r="B404" t="s">
        <v>16</v>
      </c>
      <c r="C404" t="s">
        <v>12</v>
      </c>
      <c r="D404">
        <v>18</v>
      </c>
      <c r="E404" t="s">
        <v>25</v>
      </c>
      <c r="F404">
        <v>9</v>
      </c>
      <c r="G404">
        <v>2024</v>
      </c>
      <c r="H404">
        <v>22</v>
      </c>
      <c r="I404">
        <v>462</v>
      </c>
      <c r="J404">
        <v>45</v>
      </c>
      <c r="K404">
        <v>21</v>
      </c>
      <c r="L404" s="1">
        <f>DATE(sales__2[[#This Row],[year]],sales__2[[#This Row],[month]],1)</f>
        <v>45536</v>
      </c>
    </row>
    <row r="405" spans="1:12" x14ac:dyDescent="0.2">
      <c r="A405" t="s">
        <v>19</v>
      </c>
      <c r="B405" t="s">
        <v>16</v>
      </c>
      <c r="C405" t="s">
        <v>12</v>
      </c>
      <c r="D405">
        <v>15</v>
      </c>
      <c r="E405" t="s">
        <v>23</v>
      </c>
      <c r="F405">
        <v>9</v>
      </c>
      <c r="G405">
        <v>2024</v>
      </c>
      <c r="H405">
        <v>26</v>
      </c>
      <c r="I405">
        <v>450</v>
      </c>
      <c r="J405">
        <v>50</v>
      </c>
      <c r="K405">
        <v>18</v>
      </c>
      <c r="L405" s="1">
        <f>DATE(sales__2[[#This Row],[year]],sales__2[[#This Row],[month]],1)</f>
        <v>45536</v>
      </c>
    </row>
    <row r="406" spans="1:12" x14ac:dyDescent="0.2">
      <c r="A406" t="s">
        <v>19</v>
      </c>
      <c r="B406" t="s">
        <v>16</v>
      </c>
      <c r="C406" t="s">
        <v>12</v>
      </c>
      <c r="D406">
        <v>15</v>
      </c>
      <c r="E406" t="s">
        <v>25</v>
      </c>
      <c r="F406">
        <v>9</v>
      </c>
      <c r="G406">
        <v>2024</v>
      </c>
      <c r="H406">
        <v>22</v>
      </c>
      <c r="I406">
        <v>396</v>
      </c>
      <c r="J406">
        <v>45</v>
      </c>
      <c r="K406">
        <v>18</v>
      </c>
      <c r="L406" s="1">
        <f>DATE(sales__2[[#This Row],[year]],sales__2[[#This Row],[month]],1)</f>
        <v>45536</v>
      </c>
    </row>
    <row r="407" spans="1:12" x14ac:dyDescent="0.2">
      <c r="A407" t="s">
        <v>10</v>
      </c>
      <c r="B407" t="s">
        <v>11</v>
      </c>
      <c r="C407" t="s">
        <v>12</v>
      </c>
      <c r="D407">
        <v>30</v>
      </c>
      <c r="E407" t="s">
        <v>23</v>
      </c>
      <c r="F407">
        <v>9</v>
      </c>
      <c r="G407">
        <v>2024</v>
      </c>
      <c r="H407">
        <v>14</v>
      </c>
      <c r="I407">
        <v>476</v>
      </c>
      <c r="J407">
        <v>30</v>
      </c>
      <c r="K407">
        <v>34</v>
      </c>
      <c r="L407" s="1">
        <f>DATE(sales__2[[#This Row],[year]],sales__2[[#This Row],[month]],1)</f>
        <v>45536</v>
      </c>
    </row>
    <row r="408" spans="1:12" x14ac:dyDescent="0.2">
      <c r="A408" t="s">
        <v>13</v>
      </c>
      <c r="B408" t="s">
        <v>14</v>
      </c>
      <c r="C408" t="s">
        <v>20</v>
      </c>
      <c r="D408">
        <v>35</v>
      </c>
      <c r="E408" t="s">
        <v>23</v>
      </c>
      <c r="F408">
        <v>9</v>
      </c>
      <c r="G408">
        <v>2024</v>
      </c>
      <c r="H408">
        <v>9</v>
      </c>
      <c r="I408">
        <v>328</v>
      </c>
      <c r="J408">
        <v>20</v>
      </c>
      <c r="K408">
        <v>41</v>
      </c>
      <c r="L408" s="1">
        <f>DATE(sales__2[[#This Row],[year]],sales__2[[#This Row],[month]],1)</f>
        <v>45536</v>
      </c>
    </row>
    <row r="409" spans="1:12" x14ac:dyDescent="0.2">
      <c r="A409" t="s">
        <v>15</v>
      </c>
      <c r="B409" t="s">
        <v>16</v>
      </c>
      <c r="C409" t="s">
        <v>20</v>
      </c>
      <c r="D409">
        <v>20</v>
      </c>
      <c r="E409" t="s">
        <v>23</v>
      </c>
      <c r="F409">
        <v>9</v>
      </c>
      <c r="G409">
        <v>2024</v>
      </c>
      <c r="H409">
        <v>17</v>
      </c>
      <c r="I409">
        <v>414</v>
      </c>
      <c r="J409">
        <v>35</v>
      </c>
      <c r="K409">
        <v>23</v>
      </c>
      <c r="L409" s="1">
        <f>DATE(sales__2[[#This Row],[year]],sales__2[[#This Row],[month]],1)</f>
        <v>45536</v>
      </c>
    </row>
    <row r="410" spans="1:12" x14ac:dyDescent="0.2">
      <c r="A410" t="s">
        <v>19</v>
      </c>
      <c r="B410" t="s">
        <v>16</v>
      </c>
      <c r="C410" t="s">
        <v>20</v>
      </c>
      <c r="D410">
        <v>17</v>
      </c>
      <c r="E410" t="s">
        <v>23</v>
      </c>
      <c r="F410">
        <v>9</v>
      </c>
      <c r="G410">
        <v>2024</v>
      </c>
      <c r="H410">
        <v>21</v>
      </c>
      <c r="I410">
        <v>441</v>
      </c>
      <c r="J410">
        <v>40</v>
      </c>
      <c r="K410">
        <v>21</v>
      </c>
      <c r="L410" s="1">
        <f>DATE(sales__2[[#This Row],[year]],sales__2[[#This Row],[month]],1)</f>
        <v>45536</v>
      </c>
    </row>
    <row r="411" spans="1:12" x14ac:dyDescent="0.2">
      <c r="A411" t="s">
        <v>21</v>
      </c>
      <c r="B411" t="s">
        <v>11</v>
      </c>
      <c r="C411" t="s">
        <v>20</v>
      </c>
      <c r="D411">
        <v>33</v>
      </c>
      <c r="E411" t="s">
        <v>23</v>
      </c>
      <c r="F411">
        <v>9</v>
      </c>
      <c r="G411">
        <v>2024</v>
      </c>
      <c r="H411">
        <v>11</v>
      </c>
      <c r="I411">
        <v>462</v>
      </c>
      <c r="J411">
        <v>25</v>
      </c>
      <c r="K411">
        <v>42</v>
      </c>
      <c r="L411" s="1">
        <f>DATE(sales__2[[#This Row],[year]],sales__2[[#This Row],[month]],1)</f>
        <v>45536</v>
      </c>
    </row>
    <row r="412" spans="1:12" x14ac:dyDescent="0.2">
      <c r="A412" t="s">
        <v>10</v>
      </c>
      <c r="B412" t="s">
        <v>11</v>
      </c>
      <c r="C412" t="s">
        <v>12</v>
      </c>
      <c r="D412">
        <v>28</v>
      </c>
      <c r="E412" t="s">
        <v>23</v>
      </c>
      <c r="F412">
        <v>10</v>
      </c>
      <c r="G412">
        <v>2024</v>
      </c>
      <c r="H412">
        <v>13</v>
      </c>
      <c r="I412">
        <v>429</v>
      </c>
      <c r="J412">
        <v>30</v>
      </c>
      <c r="K412">
        <v>33</v>
      </c>
      <c r="L412" s="1">
        <f>DATE(sales__2[[#This Row],[year]],sales__2[[#This Row],[month]],1)</f>
        <v>45566</v>
      </c>
    </row>
    <row r="413" spans="1:12" x14ac:dyDescent="0.2">
      <c r="A413" t="s">
        <v>10</v>
      </c>
      <c r="B413" t="s">
        <v>11</v>
      </c>
      <c r="C413" t="s">
        <v>12</v>
      </c>
      <c r="D413">
        <v>28</v>
      </c>
      <c r="E413" t="s">
        <v>25</v>
      </c>
      <c r="F413">
        <v>10</v>
      </c>
      <c r="G413">
        <v>2024</v>
      </c>
      <c r="H413">
        <v>10</v>
      </c>
      <c r="I413">
        <v>330</v>
      </c>
      <c r="J413">
        <v>20</v>
      </c>
      <c r="K413">
        <v>33</v>
      </c>
      <c r="L413" s="1">
        <f>DATE(sales__2[[#This Row],[year]],sales__2[[#This Row],[month]],1)</f>
        <v>45566</v>
      </c>
    </row>
    <row r="414" spans="1:12" x14ac:dyDescent="0.2">
      <c r="A414" t="s">
        <v>13</v>
      </c>
      <c r="B414" t="s">
        <v>14</v>
      </c>
      <c r="C414" t="s">
        <v>12</v>
      </c>
      <c r="D414">
        <v>32</v>
      </c>
      <c r="E414" t="s">
        <v>23</v>
      </c>
      <c r="F414">
        <v>10</v>
      </c>
      <c r="G414">
        <v>2024</v>
      </c>
      <c r="H414">
        <v>10</v>
      </c>
      <c r="I414">
        <v>380</v>
      </c>
      <c r="J414">
        <v>22</v>
      </c>
      <c r="K414">
        <v>38</v>
      </c>
      <c r="L414" s="1">
        <f>DATE(sales__2[[#This Row],[year]],sales__2[[#This Row],[month]],1)</f>
        <v>45566</v>
      </c>
    </row>
    <row r="415" spans="1:12" x14ac:dyDescent="0.2">
      <c r="A415" t="s">
        <v>15</v>
      </c>
      <c r="B415" t="s">
        <v>16</v>
      </c>
      <c r="C415" t="s">
        <v>12</v>
      </c>
      <c r="D415">
        <v>18</v>
      </c>
      <c r="E415" t="s">
        <v>23</v>
      </c>
      <c r="F415">
        <v>10</v>
      </c>
      <c r="G415">
        <v>2024</v>
      </c>
      <c r="H415">
        <v>18</v>
      </c>
      <c r="I415">
        <v>378</v>
      </c>
      <c r="J415">
        <v>35</v>
      </c>
      <c r="K415">
        <v>21</v>
      </c>
      <c r="L415" s="1">
        <f>DATE(sales__2[[#This Row],[year]],sales__2[[#This Row],[month]],1)</f>
        <v>45566</v>
      </c>
    </row>
    <row r="416" spans="1:12" x14ac:dyDescent="0.2">
      <c r="A416" t="s">
        <v>17</v>
      </c>
      <c r="B416" t="s">
        <v>18</v>
      </c>
      <c r="C416" t="s">
        <v>12</v>
      </c>
      <c r="D416">
        <v>45</v>
      </c>
      <c r="E416" t="s">
        <v>23</v>
      </c>
      <c r="F416">
        <v>10</v>
      </c>
      <c r="G416">
        <v>2024</v>
      </c>
      <c r="H416">
        <v>5</v>
      </c>
      <c r="I416">
        <v>270</v>
      </c>
      <c r="J416">
        <v>12</v>
      </c>
      <c r="K416">
        <v>54</v>
      </c>
      <c r="L416" s="1">
        <f>DATE(sales__2[[#This Row],[year]],sales__2[[#This Row],[month]],1)</f>
        <v>45566</v>
      </c>
    </row>
    <row r="417" spans="1:12" x14ac:dyDescent="0.2">
      <c r="A417" t="s">
        <v>19</v>
      </c>
      <c r="B417" t="s">
        <v>16</v>
      </c>
      <c r="C417" t="s">
        <v>12</v>
      </c>
      <c r="D417">
        <v>15</v>
      </c>
      <c r="E417" t="s">
        <v>23</v>
      </c>
      <c r="F417">
        <v>10</v>
      </c>
      <c r="G417">
        <v>2024</v>
      </c>
      <c r="H417">
        <v>22</v>
      </c>
      <c r="I417">
        <v>396</v>
      </c>
      <c r="J417">
        <v>45</v>
      </c>
      <c r="K417">
        <v>18</v>
      </c>
      <c r="L417" s="1">
        <f>DATE(sales__2[[#This Row],[year]],sales__2[[#This Row],[month]],1)</f>
        <v>45566</v>
      </c>
    </row>
    <row r="418" spans="1:12" x14ac:dyDescent="0.2">
      <c r="A418" t="s">
        <v>19</v>
      </c>
      <c r="B418" t="s">
        <v>16</v>
      </c>
      <c r="C418" t="s">
        <v>12</v>
      </c>
      <c r="D418">
        <v>15</v>
      </c>
      <c r="E418" t="s">
        <v>25</v>
      </c>
      <c r="F418">
        <v>10</v>
      </c>
      <c r="G418">
        <v>2024</v>
      </c>
      <c r="H418">
        <v>20</v>
      </c>
      <c r="I418">
        <v>360</v>
      </c>
      <c r="J418">
        <v>40</v>
      </c>
      <c r="K418">
        <v>18</v>
      </c>
      <c r="L418" s="1">
        <f>DATE(sales__2[[#This Row],[year]],sales__2[[#This Row],[month]],1)</f>
        <v>45566</v>
      </c>
    </row>
    <row r="419" spans="1:12" x14ac:dyDescent="0.2">
      <c r="A419" t="s">
        <v>10</v>
      </c>
      <c r="B419" t="s">
        <v>11</v>
      </c>
      <c r="C419" t="s">
        <v>12</v>
      </c>
      <c r="D419">
        <v>30</v>
      </c>
      <c r="E419" t="s">
        <v>23</v>
      </c>
      <c r="F419">
        <v>10</v>
      </c>
      <c r="G419">
        <v>2024</v>
      </c>
      <c r="H419">
        <v>12</v>
      </c>
      <c r="I419">
        <v>408</v>
      </c>
      <c r="J419">
        <v>25</v>
      </c>
      <c r="K419">
        <v>34</v>
      </c>
      <c r="L419" s="1">
        <f>DATE(sales__2[[#This Row],[year]],sales__2[[#This Row],[month]],1)</f>
        <v>45566</v>
      </c>
    </row>
    <row r="420" spans="1:12" x14ac:dyDescent="0.2">
      <c r="A420" t="s">
        <v>13</v>
      </c>
      <c r="B420" t="s">
        <v>14</v>
      </c>
      <c r="C420" t="s">
        <v>20</v>
      </c>
      <c r="D420">
        <v>35</v>
      </c>
      <c r="E420" t="s">
        <v>23</v>
      </c>
      <c r="F420">
        <v>10</v>
      </c>
      <c r="G420">
        <v>2024</v>
      </c>
      <c r="H420">
        <v>7</v>
      </c>
      <c r="I420">
        <v>287</v>
      </c>
      <c r="J420">
        <v>18</v>
      </c>
      <c r="K420">
        <v>41</v>
      </c>
      <c r="L420" s="1">
        <f>DATE(sales__2[[#This Row],[year]],sales__2[[#This Row],[month]],1)</f>
        <v>45566</v>
      </c>
    </row>
    <row r="421" spans="1:12" x14ac:dyDescent="0.2">
      <c r="A421" t="s">
        <v>15</v>
      </c>
      <c r="B421" t="s">
        <v>16</v>
      </c>
      <c r="C421" t="s">
        <v>20</v>
      </c>
      <c r="D421">
        <v>20</v>
      </c>
      <c r="E421" t="s">
        <v>23</v>
      </c>
      <c r="F421">
        <v>10</v>
      </c>
      <c r="G421">
        <v>2024</v>
      </c>
      <c r="H421">
        <v>18</v>
      </c>
      <c r="I421">
        <v>368</v>
      </c>
      <c r="J421">
        <v>35</v>
      </c>
      <c r="K421">
        <v>23</v>
      </c>
      <c r="L421" s="1">
        <f>DATE(sales__2[[#This Row],[year]],sales__2[[#This Row],[month]],1)</f>
        <v>45566</v>
      </c>
    </row>
    <row r="422" spans="1:12" x14ac:dyDescent="0.2">
      <c r="A422" t="s">
        <v>17</v>
      </c>
      <c r="B422" t="s">
        <v>18</v>
      </c>
      <c r="C422" t="s">
        <v>20</v>
      </c>
      <c r="D422">
        <v>48</v>
      </c>
      <c r="E422" t="s">
        <v>23</v>
      </c>
      <c r="F422">
        <v>10</v>
      </c>
      <c r="G422">
        <v>2024</v>
      </c>
      <c r="H422">
        <v>4</v>
      </c>
      <c r="I422">
        <v>236</v>
      </c>
      <c r="J422">
        <v>10</v>
      </c>
      <c r="K422">
        <v>59</v>
      </c>
      <c r="L422" s="1">
        <f>DATE(sales__2[[#This Row],[year]],sales__2[[#This Row],[month]],1)</f>
        <v>45566</v>
      </c>
    </row>
    <row r="423" spans="1:12" x14ac:dyDescent="0.2">
      <c r="A423" t="s">
        <v>19</v>
      </c>
      <c r="B423" t="s">
        <v>16</v>
      </c>
      <c r="C423" t="s">
        <v>20</v>
      </c>
      <c r="D423">
        <v>17</v>
      </c>
      <c r="E423" t="s">
        <v>23</v>
      </c>
      <c r="F423">
        <v>10</v>
      </c>
      <c r="G423">
        <v>2024</v>
      </c>
      <c r="H423">
        <v>19</v>
      </c>
      <c r="I423">
        <v>399</v>
      </c>
      <c r="J423">
        <v>40</v>
      </c>
      <c r="K423">
        <v>21</v>
      </c>
      <c r="L423" s="1">
        <f>DATE(sales__2[[#This Row],[year]],sales__2[[#This Row],[month]],1)</f>
        <v>45566</v>
      </c>
    </row>
    <row r="424" spans="1:12" x14ac:dyDescent="0.2">
      <c r="A424" t="s">
        <v>21</v>
      </c>
      <c r="B424" t="s">
        <v>11</v>
      </c>
      <c r="C424" t="s">
        <v>20</v>
      </c>
      <c r="D424">
        <v>33</v>
      </c>
      <c r="E424" t="s">
        <v>23</v>
      </c>
      <c r="F424">
        <v>10</v>
      </c>
      <c r="G424">
        <v>2024</v>
      </c>
      <c r="H424">
        <v>10</v>
      </c>
      <c r="I424">
        <v>420</v>
      </c>
      <c r="J424">
        <v>22</v>
      </c>
      <c r="K424">
        <v>42</v>
      </c>
      <c r="L424" s="1">
        <f>DATE(sales__2[[#This Row],[year]],sales__2[[#This Row],[month]],1)</f>
        <v>45566</v>
      </c>
    </row>
    <row r="425" spans="1:12" x14ac:dyDescent="0.2">
      <c r="A425" t="s">
        <v>10</v>
      </c>
      <c r="B425" t="s">
        <v>11</v>
      </c>
      <c r="C425" t="s">
        <v>12</v>
      </c>
      <c r="D425">
        <v>28</v>
      </c>
      <c r="E425" t="s">
        <v>23</v>
      </c>
      <c r="F425">
        <v>11</v>
      </c>
      <c r="G425">
        <v>2024</v>
      </c>
      <c r="H425">
        <v>12</v>
      </c>
      <c r="I425">
        <v>396</v>
      </c>
      <c r="J425">
        <v>25</v>
      </c>
      <c r="K425">
        <v>33</v>
      </c>
      <c r="L425" s="1">
        <f>DATE(sales__2[[#This Row],[year]],sales__2[[#This Row],[month]],1)</f>
        <v>45597</v>
      </c>
    </row>
    <row r="426" spans="1:12" x14ac:dyDescent="0.2">
      <c r="A426" t="s">
        <v>10</v>
      </c>
      <c r="B426" t="s">
        <v>11</v>
      </c>
      <c r="C426" t="s">
        <v>12</v>
      </c>
      <c r="D426">
        <v>28</v>
      </c>
      <c r="E426" t="s">
        <v>27</v>
      </c>
      <c r="F426">
        <v>11</v>
      </c>
      <c r="G426">
        <v>2024</v>
      </c>
      <c r="H426">
        <v>9</v>
      </c>
      <c r="I426">
        <v>297</v>
      </c>
      <c r="J426">
        <v>20</v>
      </c>
      <c r="K426">
        <v>33</v>
      </c>
      <c r="L426" s="1">
        <f>DATE(sales__2[[#This Row],[year]],sales__2[[#This Row],[month]],1)</f>
        <v>45597</v>
      </c>
    </row>
    <row r="427" spans="1:12" x14ac:dyDescent="0.2">
      <c r="A427" t="s">
        <v>13</v>
      </c>
      <c r="B427" t="s">
        <v>14</v>
      </c>
      <c r="C427" t="s">
        <v>12</v>
      </c>
      <c r="D427">
        <v>32</v>
      </c>
      <c r="E427" t="s">
        <v>23</v>
      </c>
      <c r="F427">
        <v>11</v>
      </c>
      <c r="G427">
        <v>2024</v>
      </c>
      <c r="H427">
        <v>9</v>
      </c>
      <c r="I427">
        <v>342</v>
      </c>
      <c r="J427">
        <v>20</v>
      </c>
      <c r="K427">
        <v>38</v>
      </c>
      <c r="L427" s="1">
        <f>DATE(sales__2[[#This Row],[year]],sales__2[[#This Row],[month]],1)</f>
        <v>45597</v>
      </c>
    </row>
    <row r="428" spans="1:12" x14ac:dyDescent="0.2">
      <c r="A428" t="s">
        <v>15</v>
      </c>
      <c r="B428" t="s">
        <v>16</v>
      </c>
      <c r="C428" t="s">
        <v>12</v>
      </c>
      <c r="D428">
        <v>18</v>
      </c>
      <c r="E428" t="s">
        <v>23</v>
      </c>
      <c r="F428">
        <v>11</v>
      </c>
      <c r="G428">
        <v>2024</v>
      </c>
      <c r="H428">
        <v>16</v>
      </c>
      <c r="I428">
        <v>336</v>
      </c>
      <c r="J428">
        <v>35</v>
      </c>
      <c r="K428">
        <v>21</v>
      </c>
      <c r="L428" s="1">
        <f>DATE(sales__2[[#This Row],[year]],sales__2[[#This Row],[month]],1)</f>
        <v>45597</v>
      </c>
    </row>
    <row r="429" spans="1:12" x14ac:dyDescent="0.2">
      <c r="A429" t="s">
        <v>15</v>
      </c>
      <c r="B429" t="s">
        <v>16</v>
      </c>
      <c r="C429" t="s">
        <v>12</v>
      </c>
      <c r="D429">
        <v>18</v>
      </c>
      <c r="E429" t="s">
        <v>25</v>
      </c>
      <c r="F429">
        <v>11</v>
      </c>
      <c r="G429">
        <v>2024</v>
      </c>
      <c r="H429">
        <v>23</v>
      </c>
      <c r="I429">
        <v>420</v>
      </c>
      <c r="J429">
        <v>40</v>
      </c>
      <c r="K429">
        <v>21</v>
      </c>
      <c r="L429" s="1">
        <f>DATE(sales__2[[#This Row],[year]],sales__2[[#This Row],[month]],1)</f>
        <v>45597</v>
      </c>
    </row>
    <row r="430" spans="1:12" x14ac:dyDescent="0.2">
      <c r="A430" t="s">
        <v>19</v>
      </c>
      <c r="B430" t="s">
        <v>16</v>
      </c>
      <c r="C430" t="s">
        <v>12</v>
      </c>
      <c r="D430">
        <v>15</v>
      </c>
      <c r="E430" t="s">
        <v>23</v>
      </c>
      <c r="F430">
        <v>11</v>
      </c>
      <c r="G430">
        <v>2024</v>
      </c>
      <c r="H430">
        <v>22</v>
      </c>
      <c r="I430">
        <v>396</v>
      </c>
      <c r="J430">
        <v>45</v>
      </c>
      <c r="K430">
        <v>18</v>
      </c>
      <c r="L430" s="1">
        <f>DATE(sales__2[[#This Row],[year]],sales__2[[#This Row],[month]],1)</f>
        <v>45597</v>
      </c>
    </row>
    <row r="431" spans="1:12" x14ac:dyDescent="0.2">
      <c r="A431" t="s">
        <v>19</v>
      </c>
      <c r="B431" t="s">
        <v>16</v>
      </c>
      <c r="C431" t="s">
        <v>12</v>
      </c>
      <c r="D431">
        <v>15</v>
      </c>
      <c r="E431" t="s">
        <v>27</v>
      </c>
      <c r="F431">
        <v>11</v>
      </c>
      <c r="G431">
        <v>2024</v>
      </c>
      <c r="H431">
        <v>18</v>
      </c>
      <c r="I431">
        <v>324</v>
      </c>
      <c r="J431">
        <v>35</v>
      </c>
      <c r="K431">
        <v>18</v>
      </c>
      <c r="L431" s="1">
        <f>DATE(sales__2[[#This Row],[year]],sales__2[[#This Row],[month]],1)</f>
        <v>45597</v>
      </c>
    </row>
    <row r="432" spans="1:12" x14ac:dyDescent="0.2">
      <c r="A432" t="s">
        <v>10</v>
      </c>
      <c r="B432" t="s">
        <v>11</v>
      </c>
      <c r="C432" t="s">
        <v>12</v>
      </c>
      <c r="D432">
        <v>30</v>
      </c>
      <c r="E432" t="s">
        <v>23</v>
      </c>
      <c r="F432">
        <v>11</v>
      </c>
      <c r="G432">
        <v>2024</v>
      </c>
      <c r="H432">
        <v>12</v>
      </c>
      <c r="I432">
        <v>408</v>
      </c>
      <c r="J432">
        <v>25</v>
      </c>
      <c r="K432">
        <v>34</v>
      </c>
      <c r="L432" s="1">
        <f>DATE(sales__2[[#This Row],[year]],sales__2[[#This Row],[month]],1)</f>
        <v>45597</v>
      </c>
    </row>
    <row r="433" spans="1:12" x14ac:dyDescent="0.2">
      <c r="A433" t="s">
        <v>15</v>
      </c>
      <c r="B433" t="s">
        <v>16</v>
      </c>
      <c r="C433" t="s">
        <v>20</v>
      </c>
      <c r="D433">
        <v>20</v>
      </c>
      <c r="E433" t="s">
        <v>23</v>
      </c>
      <c r="F433">
        <v>11</v>
      </c>
      <c r="G433">
        <v>2024</v>
      </c>
      <c r="H433">
        <v>15</v>
      </c>
      <c r="I433">
        <v>345</v>
      </c>
      <c r="J433">
        <v>30</v>
      </c>
      <c r="K433">
        <v>23</v>
      </c>
      <c r="L433" s="1">
        <f>DATE(sales__2[[#This Row],[year]],sales__2[[#This Row],[month]],1)</f>
        <v>45597</v>
      </c>
    </row>
    <row r="434" spans="1:12" x14ac:dyDescent="0.2">
      <c r="A434" t="s">
        <v>19</v>
      </c>
      <c r="B434" t="s">
        <v>16</v>
      </c>
      <c r="C434" t="s">
        <v>20</v>
      </c>
      <c r="D434">
        <v>17</v>
      </c>
      <c r="E434" t="s">
        <v>23</v>
      </c>
      <c r="F434">
        <v>11</v>
      </c>
      <c r="G434">
        <v>2024</v>
      </c>
      <c r="H434">
        <v>18</v>
      </c>
      <c r="I434">
        <v>357</v>
      </c>
      <c r="J434">
        <v>35</v>
      </c>
      <c r="K434">
        <v>21</v>
      </c>
      <c r="L434" s="1">
        <f>DATE(sales__2[[#This Row],[year]],sales__2[[#This Row],[month]],1)</f>
        <v>45597</v>
      </c>
    </row>
    <row r="435" spans="1:12" x14ac:dyDescent="0.2">
      <c r="A435" t="s">
        <v>21</v>
      </c>
      <c r="B435" t="s">
        <v>11</v>
      </c>
      <c r="C435" t="s">
        <v>20</v>
      </c>
      <c r="D435">
        <v>33</v>
      </c>
      <c r="E435" t="s">
        <v>23</v>
      </c>
      <c r="F435">
        <v>11</v>
      </c>
      <c r="G435">
        <v>2024</v>
      </c>
      <c r="H435">
        <v>8</v>
      </c>
      <c r="I435">
        <v>378</v>
      </c>
      <c r="J435">
        <v>20</v>
      </c>
      <c r="K435">
        <v>42</v>
      </c>
      <c r="L435" s="1">
        <f>DATE(sales__2[[#This Row],[year]],sales__2[[#This Row],[month]],1)</f>
        <v>45597</v>
      </c>
    </row>
    <row r="436" spans="1:12" x14ac:dyDescent="0.2">
      <c r="A436" t="s">
        <v>10</v>
      </c>
      <c r="B436" t="s">
        <v>11</v>
      </c>
      <c r="C436" t="s">
        <v>12</v>
      </c>
      <c r="D436">
        <v>28</v>
      </c>
      <c r="E436" t="s">
        <v>23</v>
      </c>
      <c r="F436">
        <v>12</v>
      </c>
      <c r="G436">
        <v>2024</v>
      </c>
      <c r="H436">
        <v>14</v>
      </c>
      <c r="I436">
        <v>462</v>
      </c>
      <c r="J436">
        <v>30</v>
      </c>
      <c r="K436">
        <v>33</v>
      </c>
      <c r="L436" s="1">
        <f>DATE(sales__2[[#This Row],[year]],sales__2[[#This Row],[month]],1)</f>
        <v>45627</v>
      </c>
    </row>
    <row r="437" spans="1:12" x14ac:dyDescent="0.2">
      <c r="A437" t="s">
        <v>10</v>
      </c>
      <c r="B437" t="s">
        <v>11</v>
      </c>
      <c r="C437" t="s">
        <v>12</v>
      </c>
      <c r="D437">
        <v>28</v>
      </c>
      <c r="E437" t="s">
        <v>25</v>
      </c>
      <c r="F437">
        <v>12</v>
      </c>
      <c r="G437">
        <v>2024</v>
      </c>
      <c r="H437">
        <v>11</v>
      </c>
      <c r="I437">
        <v>363</v>
      </c>
      <c r="J437">
        <v>25</v>
      </c>
      <c r="K437">
        <v>33</v>
      </c>
      <c r="L437" s="1">
        <f>DATE(sales__2[[#This Row],[year]],sales__2[[#This Row],[month]],1)</f>
        <v>45627</v>
      </c>
    </row>
    <row r="438" spans="1:12" x14ac:dyDescent="0.2">
      <c r="A438" t="s">
        <v>13</v>
      </c>
      <c r="B438" t="s">
        <v>14</v>
      </c>
      <c r="C438" t="s">
        <v>12</v>
      </c>
      <c r="D438">
        <v>32</v>
      </c>
      <c r="E438" t="s">
        <v>23</v>
      </c>
      <c r="F438">
        <v>12</v>
      </c>
      <c r="G438">
        <v>2024</v>
      </c>
      <c r="H438">
        <v>12</v>
      </c>
      <c r="I438">
        <v>418</v>
      </c>
      <c r="J438">
        <v>25</v>
      </c>
      <c r="K438">
        <v>38</v>
      </c>
      <c r="L438" s="1">
        <f>DATE(sales__2[[#This Row],[year]],sales__2[[#This Row],[month]],1)</f>
        <v>45627</v>
      </c>
    </row>
    <row r="439" spans="1:12" x14ac:dyDescent="0.2">
      <c r="A439" t="s">
        <v>15</v>
      </c>
      <c r="B439" t="s">
        <v>16</v>
      </c>
      <c r="C439" t="s">
        <v>12</v>
      </c>
      <c r="D439">
        <v>18</v>
      </c>
      <c r="E439" t="s">
        <v>23</v>
      </c>
      <c r="F439">
        <v>12</v>
      </c>
      <c r="G439">
        <v>2024</v>
      </c>
      <c r="H439">
        <v>19</v>
      </c>
      <c r="I439">
        <v>378</v>
      </c>
      <c r="J439">
        <v>35</v>
      </c>
      <c r="K439">
        <v>21</v>
      </c>
      <c r="L439" s="1">
        <f>DATE(sales__2[[#This Row],[year]],sales__2[[#This Row],[month]],1)</f>
        <v>45627</v>
      </c>
    </row>
    <row r="440" spans="1:12" x14ac:dyDescent="0.2">
      <c r="A440" t="s">
        <v>17</v>
      </c>
      <c r="B440" t="s">
        <v>18</v>
      </c>
      <c r="C440" t="s">
        <v>12</v>
      </c>
      <c r="D440">
        <v>45</v>
      </c>
      <c r="E440" t="s">
        <v>23</v>
      </c>
      <c r="F440">
        <v>12</v>
      </c>
      <c r="G440">
        <v>2024</v>
      </c>
      <c r="H440">
        <v>6</v>
      </c>
      <c r="I440">
        <v>324</v>
      </c>
      <c r="J440">
        <v>15</v>
      </c>
      <c r="K440">
        <v>54</v>
      </c>
      <c r="L440" s="1">
        <f>DATE(sales__2[[#This Row],[year]],sales__2[[#This Row],[month]],1)</f>
        <v>45627</v>
      </c>
    </row>
    <row r="441" spans="1:12" x14ac:dyDescent="0.2">
      <c r="A441" t="s">
        <v>19</v>
      </c>
      <c r="B441" t="s">
        <v>16</v>
      </c>
      <c r="C441" t="s">
        <v>12</v>
      </c>
      <c r="D441">
        <v>15</v>
      </c>
      <c r="E441" t="s">
        <v>23</v>
      </c>
      <c r="F441">
        <v>12</v>
      </c>
      <c r="G441">
        <v>2024</v>
      </c>
      <c r="H441">
        <v>24</v>
      </c>
      <c r="I441">
        <v>432</v>
      </c>
      <c r="J441">
        <v>50</v>
      </c>
      <c r="K441">
        <v>18</v>
      </c>
      <c r="L441" s="1">
        <f>DATE(sales__2[[#This Row],[year]],sales__2[[#This Row],[month]],1)</f>
        <v>45627</v>
      </c>
    </row>
    <row r="442" spans="1:12" x14ac:dyDescent="0.2">
      <c r="A442" t="s">
        <v>19</v>
      </c>
      <c r="B442" t="s">
        <v>16</v>
      </c>
      <c r="C442" t="s">
        <v>12</v>
      </c>
      <c r="D442">
        <v>15</v>
      </c>
      <c r="E442" t="s">
        <v>25</v>
      </c>
      <c r="F442">
        <v>12</v>
      </c>
      <c r="G442">
        <v>2024</v>
      </c>
      <c r="H442">
        <v>22</v>
      </c>
      <c r="I442">
        <v>396</v>
      </c>
      <c r="J442">
        <v>45</v>
      </c>
      <c r="K442">
        <v>18</v>
      </c>
      <c r="L442" s="1">
        <f>DATE(sales__2[[#This Row],[year]],sales__2[[#This Row],[month]],1)</f>
        <v>45627</v>
      </c>
    </row>
    <row r="443" spans="1:12" x14ac:dyDescent="0.2">
      <c r="A443" t="s">
        <v>10</v>
      </c>
      <c r="B443" t="s">
        <v>11</v>
      </c>
      <c r="C443" t="s">
        <v>12</v>
      </c>
      <c r="D443">
        <v>30</v>
      </c>
      <c r="E443" t="s">
        <v>23</v>
      </c>
      <c r="F443">
        <v>12</v>
      </c>
      <c r="G443">
        <v>2024</v>
      </c>
      <c r="H443">
        <v>15</v>
      </c>
      <c r="I443">
        <v>510</v>
      </c>
      <c r="J443">
        <v>30</v>
      </c>
      <c r="K443">
        <v>34</v>
      </c>
      <c r="L443" s="1">
        <f>DATE(sales__2[[#This Row],[year]],sales__2[[#This Row],[month]],1)</f>
        <v>45627</v>
      </c>
    </row>
    <row r="444" spans="1:12" x14ac:dyDescent="0.2">
      <c r="A444" t="s">
        <v>13</v>
      </c>
      <c r="B444" t="s">
        <v>14</v>
      </c>
      <c r="C444" t="s">
        <v>20</v>
      </c>
      <c r="D444">
        <v>35</v>
      </c>
      <c r="E444" t="s">
        <v>23</v>
      </c>
      <c r="F444">
        <v>12</v>
      </c>
      <c r="G444">
        <v>2024</v>
      </c>
      <c r="H444">
        <v>10</v>
      </c>
      <c r="I444">
        <v>369</v>
      </c>
      <c r="J444">
        <v>20</v>
      </c>
      <c r="K444">
        <v>41</v>
      </c>
      <c r="L444" s="1">
        <f>DATE(sales__2[[#This Row],[year]],sales__2[[#This Row],[month]],1)</f>
        <v>45627</v>
      </c>
    </row>
    <row r="445" spans="1:12" x14ac:dyDescent="0.2">
      <c r="A445" t="s">
        <v>15</v>
      </c>
      <c r="B445" t="s">
        <v>16</v>
      </c>
      <c r="C445" t="s">
        <v>20</v>
      </c>
      <c r="D445">
        <v>20</v>
      </c>
      <c r="E445" t="s">
        <v>23</v>
      </c>
      <c r="F445">
        <v>12</v>
      </c>
      <c r="G445">
        <v>2024</v>
      </c>
      <c r="H445">
        <v>21</v>
      </c>
      <c r="I445">
        <v>414</v>
      </c>
      <c r="J445">
        <v>35</v>
      </c>
      <c r="K445">
        <v>23</v>
      </c>
      <c r="L445" s="1">
        <f>DATE(sales__2[[#This Row],[year]],sales__2[[#This Row],[month]],1)</f>
        <v>45627</v>
      </c>
    </row>
    <row r="446" spans="1:12" x14ac:dyDescent="0.2">
      <c r="A446" t="s">
        <v>17</v>
      </c>
      <c r="B446" t="s">
        <v>18</v>
      </c>
      <c r="C446" t="s">
        <v>20</v>
      </c>
      <c r="D446">
        <v>48</v>
      </c>
      <c r="E446" t="s">
        <v>23</v>
      </c>
      <c r="F446">
        <v>12</v>
      </c>
      <c r="G446">
        <v>2024</v>
      </c>
      <c r="H446">
        <v>5</v>
      </c>
      <c r="I446">
        <v>295</v>
      </c>
      <c r="J446">
        <v>12</v>
      </c>
      <c r="K446">
        <v>59</v>
      </c>
      <c r="L446" s="1">
        <f>DATE(sales__2[[#This Row],[year]],sales__2[[#This Row],[month]],1)</f>
        <v>45627</v>
      </c>
    </row>
    <row r="447" spans="1:12" x14ac:dyDescent="0.2">
      <c r="A447" t="s">
        <v>19</v>
      </c>
      <c r="B447" t="s">
        <v>16</v>
      </c>
      <c r="C447" t="s">
        <v>20</v>
      </c>
      <c r="D447">
        <v>17</v>
      </c>
      <c r="E447" t="s">
        <v>23</v>
      </c>
      <c r="F447">
        <v>12</v>
      </c>
      <c r="G447">
        <v>2024</v>
      </c>
      <c r="H447">
        <v>20</v>
      </c>
      <c r="I447">
        <v>441</v>
      </c>
      <c r="J447">
        <v>40</v>
      </c>
      <c r="K447">
        <v>21</v>
      </c>
      <c r="L447" s="1">
        <f>DATE(sales__2[[#This Row],[year]],sales__2[[#This Row],[month]],1)</f>
        <v>45627</v>
      </c>
    </row>
    <row r="448" spans="1:12" x14ac:dyDescent="0.2">
      <c r="A448" t="s">
        <v>21</v>
      </c>
      <c r="B448" t="s">
        <v>11</v>
      </c>
      <c r="C448" t="s">
        <v>20</v>
      </c>
      <c r="D448">
        <v>33</v>
      </c>
      <c r="E448" t="s">
        <v>23</v>
      </c>
      <c r="F448">
        <v>12</v>
      </c>
      <c r="G448">
        <v>2024</v>
      </c>
      <c r="H448">
        <v>12</v>
      </c>
      <c r="I448">
        <v>504</v>
      </c>
      <c r="J448">
        <v>25</v>
      </c>
      <c r="K448">
        <v>42</v>
      </c>
      <c r="L448" s="1">
        <f>DATE(sales__2[[#This Row],[year]],sales__2[[#This Row],[month]],1)</f>
        <v>45627</v>
      </c>
    </row>
  </sheetData>
  <pageMargins left="0.7" right="0.7" top="0.75" bottom="0.75" header="0.3" footer="0.3"/>
  <drawing r:id="rId4"/>
  <tableParts count="1">
    <tablePart r:id="rId5"/>
  </tableParts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B3D76-7FF0-44E4-A024-2E761A5A0E34}">
  <dimension ref="A1:H61"/>
  <sheetViews>
    <sheetView topLeftCell="E4" zoomScale="209" workbookViewId="0">
      <selection activeCell="G1" sqref="G1"/>
    </sheetView>
  </sheetViews>
  <sheetFormatPr baseColWidth="10" defaultColWidth="8.83203125" defaultRowHeight="15" x14ac:dyDescent="0.2"/>
  <cols>
    <col min="1" max="1" width="10.1640625" bestFit="1" customWidth="1"/>
    <col min="2" max="2" width="9.33203125" bestFit="1" customWidth="1"/>
    <col min="3" max="3" width="15" customWidth="1"/>
    <col min="4" max="4" width="33.33203125" customWidth="1"/>
    <col min="5" max="5" width="34.33203125" customWidth="1"/>
    <col min="7" max="7" width="12" customWidth="1"/>
    <col min="8" max="8" width="10.6640625" customWidth="1"/>
  </cols>
  <sheetData>
    <row r="1" spans="1:8" x14ac:dyDescent="0.2">
      <c r="A1" t="s">
        <v>29</v>
      </c>
      <c r="B1" t="s">
        <v>0</v>
      </c>
      <c r="C1" t="s">
        <v>74</v>
      </c>
      <c r="D1" t="s">
        <v>75</v>
      </c>
      <c r="E1" t="s">
        <v>76</v>
      </c>
      <c r="G1" t="s">
        <v>77</v>
      </c>
      <c r="H1" t="s">
        <v>78</v>
      </c>
    </row>
    <row r="2" spans="1:8" x14ac:dyDescent="0.2">
      <c r="A2" s="1">
        <v>44562</v>
      </c>
      <c r="B2">
        <v>9.9333333333333336</v>
      </c>
      <c r="G2" t="s">
        <v>79</v>
      </c>
      <c r="H2" s="18">
        <f>_xlfn.FORECAST.ETS.STAT($B$2:$B$37,$A$2:$A$37,1,1,1)</f>
        <v>0.501</v>
      </c>
    </row>
    <row r="3" spans="1:8" x14ac:dyDescent="0.2">
      <c r="A3" s="1">
        <v>44593</v>
      </c>
      <c r="B3">
        <v>9.1</v>
      </c>
      <c r="G3" t="s">
        <v>80</v>
      </c>
      <c r="H3" s="18">
        <f>_xlfn.FORECAST.ETS.STAT($B$2:$B$37,$A$2:$A$37,2,1,1)</f>
        <v>1E-3</v>
      </c>
    </row>
    <row r="4" spans="1:8" x14ac:dyDescent="0.2">
      <c r="A4" s="1">
        <v>44621</v>
      </c>
      <c r="B4">
        <v>13.272727272727273</v>
      </c>
      <c r="G4" t="s">
        <v>81</v>
      </c>
      <c r="H4" s="18">
        <f>_xlfn.FORECAST.ETS.STAT($B$2:$B$37,$A$2:$A$37,3,1,1)</f>
        <v>1E-3</v>
      </c>
    </row>
    <row r="5" spans="1:8" x14ac:dyDescent="0.2">
      <c r="A5" s="1">
        <v>44652</v>
      </c>
      <c r="B5">
        <v>12.384615384615385</v>
      </c>
      <c r="G5" t="s">
        <v>82</v>
      </c>
      <c r="H5" s="18">
        <f>_xlfn.FORECAST.ETS.STAT($B$2:$B$37,$A$2:$A$37,4,1,1)</f>
        <v>6.5461935052724129E-2</v>
      </c>
    </row>
    <row r="6" spans="1:8" x14ac:dyDescent="0.2">
      <c r="A6" s="1">
        <v>44682</v>
      </c>
      <c r="B6">
        <v>16</v>
      </c>
      <c r="G6" t="s">
        <v>83</v>
      </c>
      <c r="H6" s="18">
        <f>_xlfn.FORECAST.ETS.STAT($B$2:$B$37,$A$2:$A$37,5,1,1)</f>
        <v>1.0214808170163056E-2</v>
      </c>
    </row>
    <row r="7" spans="1:8" x14ac:dyDescent="0.2">
      <c r="A7" s="1">
        <v>44713</v>
      </c>
      <c r="B7">
        <v>18.923076923076923</v>
      </c>
      <c r="G7" t="s">
        <v>84</v>
      </c>
      <c r="H7" s="18">
        <f>_xlfn.FORECAST.ETS.STAT($B$2:$B$37,$A$2:$A$37,6,1,1)</f>
        <v>0.15741528122934895</v>
      </c>
    </row>
    <row r="8" spans="1:8" x14ac:dyDescent="0.2">
      <c r="A8" s="1">
        <v>44743</v>
      </c>
      <c r="B8">
        <v>20.307692307692307</v>
      </c>
      <c r="G8" t="s">
        <v>85</v>
      </c>
      <c r="H8" s="18">
        <f>_xlfn.FORECAST.ETS.STAT($B$2:$B$37,$A$2:$A$37,7,1,1)</f>
        <v>0.18024364986904629</v>
      </c>
    </row>
    <row r="9" spans="1:8" x14ac:dyDescent="0.2">
      <c r="A9" s="1">
        <v>44774</v>
      </c>
      <c r="B9">
        <v>19.166666666666668</v>
      </c>
    </row>
    <row r="10" spans="1:8" x14ac:dyDescent="0.2">
      <c r="A10" s="1">
        <v>44805</v>
      </c>
      <c r="B10">
        <v>16.666666666666668</v>
      </c>
    </row>
    <row r="11" spans="1:8" x14ac:dyDescent="0.2">
      <c r="A11" s="1">
        <v>44835</v>
      </c>
      <c r="B11">
        <v>12.692307692307692</v>
      </c>
    </row>
    <row r="12" spans="1:8" x14ac:dyDescent="0.2">
      <c r="A12" s="1">
        <v>44866</v>
      </c>
      <c r="B12">
        <v>14.454545454545455</v>
      </c>
    </row>
    <row r="13" spans="1:8" x14ac:dyDescent="0.2">
      <c r="A13" s="1">
        <v>44896</v>
      </c>
      <c r="B13">
        <v>14.384615384615385</v>
      </c>
    </row>
    <row r="14" spans="1:8" x14ac:dyDescent="0.2">
      <c r="A14" s="1">
        <v>44927</v>
      </c>
      <c r="B14">
        <v>11.055555555555555</v>
      </c>
    </row>
    <row r="15" spans="1:8" x14ac:dyDescent="0.2">
      <c r="A15" s="1">
        <v>44958</v>
      </c>
      <c r="B15">
        <v>10.1</v>
      </c>
    </row>
    <row r="16" spans="1:8" x14ac:dyDescent="0.2">
      <c r="A16" s="1">
        <v>44986</v>
      </c>
      <c r="B16">
        <v>14.909090909090908</v>
      </c>
    </row>
    <row r="17" spans="1:2" x14ac:dyDescent="0.2">
      <c r="A17" s="1">
        <v>45017</v>
      </c>
      <c r="B17">
        <v>13.692307692307692</v>
      </c>
    </row>
    <row r="18" spans="1:2" x14ac:dyDescent="0.2">
      <c r="A18" s="1">
        <v>45047</v>
      </c>
      <c r="B18">
        <v>17</v>
      </c>
    </row>
    <row r="19" spans="1:2" x14ac:dyDescent="0.2">
      <c r="A19" s="1">
        <v>45078</v>
      </c>
      <c r="B19">
        <v>18.75</v>
      </c>
    </row>
    <row r="20" spans="1:2" x14ac:dyDescent="0.2">
      <c r="A20" s="1">
        <v>45108</v>
      </c>
      <c r="B20">
        <v>21.692307692307693</v>
      </c>
    </row>
    <row r="21" spans="1:2" x14ac:dyDescent="0.2">
      <c r="A21" s="1">
        <v>45139</v>
      </c>
      <c r="B21">
        <v>19.25</v>
      </c>
    </row>
    <row r="22" spans="1:2" x14ac:dyDescent="0.2">
      <c r="A22" s="1">
        <v>45170</v>
      </c>
      <c r="B22">
        <v>16.5</v>
      </c>
    </row>
    <row r="23" spans="1:2" x14ac:dyDescent="0.2">
      <c r="A23" s="1">
        <v>45200</v>
      </c>
      <c r="B23">
        <v>12.76923076923077</v>
      </c>
    </row>
    <row r="24" spans="1:2" x14ac:dyDescent="0.2">
      <c r="A24" s="1">
        <v>45231</v>
      </c>
      <c r="B24">
        <v>14.909090909090908</v>
      </c>
    </row>
    <row r="25" spans="1:2" x14ac:dyDescent="0.2">
      <c r="A25" s="1">
        <v>45261</v>
      </c>
      <c r="B25">
        <v>14.23076923076923</v>
      </c>
    </row>
    <row r="26" spans="1:2" x14ac:dyDescent="0.2">
      <c r="A26" s="1">
        <v>45292</v>
      </c>
      <c r="B26">
        <v>11.166666666666666</v>
      </c>
    </row>
    <row r="27" spans="1:2" x14ac:dyDescent="0.2">
      <c r="A27" s="1">
        <v>45323</v>
      </c>
      <c r="B27">
        <v>10.3</v>
      </c>
    </row>
    <row r="28" spans="1:2" x14ac:dyDescent="0.2">
      <c r="A28" s="1">
        <v>45352</v>
      </c>
      <c r="B28">
        <v>15</v>
      </c>
    </row>
    <row r="29" spans="1:2" x14ac:dyDescent="0.2">
      <c r="A29" s="1">
        <v>45383</v>
      </c>
      <c r="B29">
        <v>13.76923076923077</v>
      </c>
    </row>
    <row r="30" spans="1:2" x14ac:dyDescent="0.2">
      <c r="A30" s="1">
        <v>45413</v>
      </c>
      <c r="B30">
        <v>16.818181818181817</v>
      </c>
    </row>
    <row r="31" spans="1:2" x14ac:dyDescent="0.2">
      <c r="A31" s="1">
        <v>45444</v>
      </c>
      <c r="B31">
        <v>19.153846153846153</v>
      </c>
    </row>
    <row r="32" spans="1:2" x14ac:dyDescent="0.2">
      <c r="A32" s="1">
        <v>45474</v>
      </c>
      <c r="B32">
        <v>21.46153846153846</v>
      </c>
    </row>
    <row r="33" spans="1:5" x14ac:dyDescent="0.2">
      <c r="A33" s="1">
        <v>45505</v>
      </c>
      <c r="B33">
        <v>19.416666666666668</v>
      </c>
    </row>
    <row r="34" spans="1:5" x14ac:dyDescent="0.2">
      <c r="A34" s="1">
        <v>45536</v>
      </c>
      <c r="B34">
        <v>16.666666666666668</v>
      </c>
    </row>
    <row r="35" spans="1:5" x14ac:dyDescent="0.2">
      <c r="A35" s="1">
        <v>45566</v>
      </c>
      <c r="B35">
        <v>12.923076923076923</v>
      </c>
    </row>
    <row r="36" spans="1:5" x14ac:dyDescent="0.2">
      <c r="A36" s="1">
        <v>45597</v>
      </c>
      <c r="B36">
        <v>14.727272727272727</v>
      </c>
    </row>
    <row r="37" spans="1:5" x14ac:dyDescent="0.2">
      <c r="A37" s="1">
        <v>45627</v>
      </c>
      <c r="B37">
        <v>14.692307692307692</v>
      </c>
      <c r="C37">
        <v>14.692307692307692</v>
      </c>
      <c r="D37" s="17">
        <v>14.692307692307692</v>
      </c>
      <c r="E37" s="17">
        <v>14.692307692307692</v>
      </c>
    </row>
    <row r="38" spans="1:5" x14ac:dyDescent="0.2">
      <c r="A38" s="1">
        <v>45658</v>
      </c>
      <c r="C38">
        <f t="shared" ref="C38:C61" si="0">_xlfn.FORECAST.ETS(A38,$B$2:$B$37,$A$2:$A$37,1,1)</f>
        <v>11.275173025070568</v>
      </c>
      <c r="D38" s="17">
        <f t="shared" ref="D38:D61" si="1">C38-_xlfn.FORECAST.ETS.CONFINT(A38,$B$2:$B$37,$A$2:$A$37,0.95,1,1)</f>
        <v>10.688131480002752</v>
      </c>
      <c r="E38" s="17">
        <f t="shared" ref="E38:E61" si="2">C38+_xlfn.FORECAST.ETS.CONFINT(A38,$B$2:$B$37,$A$2:$A$37,0.95,1,1)</f>
        <v>11.862214570138384</v>
      </c>
    </row>
    <row r="39" spans="1:5" x14ac:dyDescent="0.2">
      <c r="A39" s="1">
        <v>45689</v>
      </c>
      <c r="C39">
        <f t="shared" si="0"/>
        <v>10.33511205242948</v>
      </c>
      <c r="D39" s="17">
        <f t="shared" si="1"/>
        <v>9.6782537468818646</v>
      </c>
      <c r="E39" s="17">
        <f t="shared" si="2"/>
        <v>10.991970357977095</v>
      </c>
    </row>
    <row r="40" spans="1:5" x14ac:dyDescent="0.2">
      <c r="A40" s="1">
        <v>45717</v>
      </c>
      <c r="C40">
        <f t="shared" si="0"/>
        <v>15.16908989715766</v>
      </c>
      <c r="D40" s="17">
        <f t="shared" si="1"/>
        <v>14.448913368546323</v>
      </c>
      <c r="E40" s="17">
        <f t="shared" si="2"/>
        <v>15.889266425768996</v>
      </c>
    </row>
    <row r="41" spans="1:5" x14ac:dyDescent="0.2">
      <c r="A41" s="1">
        <v>45748</v>
      </c>
      <c r="C41">
        <f t="shared" si="0"/>
        <v>13.969140525446839</v>
      </c>
      <c r="D41" s="17">
        <f t="shared" si="1"/>
        <v>13.190556771918338</v>
      </c>
      <c r="E41" s="17">
        <f t="shared" si="2"/>
        <v>14.74772427897534</v>
      </c>
    </row>
    <row r="42" spans="1:5" x14ac:dyDescent="0.2">
      <c r="A42" s="1">
        <v>45778</v>
      </c>
      <c r="C42">
        <f t="shared" si="0"/>
        <v>17.291351266415724</v>
      </c>
      <c r="D42" s="17">
        <f t="shared" si="1"/>
        <v>16.458237342939469</v>
      </c>
      <c r="E42" s="17">
        <f t="shared" si="2"/>
        <v>18.124465189891978</v>
      </c>
    </row>
    <row r="43" spans="1:5" x14ac:dyDescent="0.2">
      <c r="A43" s="1">
        <v>45809</v>
      </c>
      <c r="C43">
        <f t="shared" si="0"/>
        <v>19.325356553707223</v>
      </c>
      <c r="D43" s="17">
        <f t="shared" si="1"/>
        <v>18.440871750958959</v>
      </c>
      <c r="E43" s="17">
        <f t="shared" si="2"/>
        <v>20.209841356455488</v>
      </c>
    </row>
    <row r="44" spans="1:5" x14ac:dyDescent="0.2">
      <c r="A44" s="1">
        <v>45839</v>
      </c>
      <c r="C44">
        <f t="shared" si="0"/>
        <v>21.489095600856349</v>
      </c>
      <c r="D44" s="17">
        <f t="shared" si="1"/>
        <v>20.555876965754159</v>
      </c>
      <c r="E44" s="17">
        <f t="shared" si="2"/>
        <v>22.422314235958538</v>
      </c>
    </row>
    <row r="45" spans="1:5" x14ac:dyDescent="0.2">
      <c r="A45" s="1">
        <v>45870</v>
      </c>
      <c r="C45">
        <f t="shared" si="0"/>
        <v>19.695611494681632</v>
      </c>
      <c r="D45" s="17">
        <f t="shared" si="1"/>
        <v>18.71590211810426</v>
      </c>
      <c r="E45" s="17">
        <f t="shared" si="2"/>
        <v>20.675320871259004</v>
      </c>
    </row>
    <row r="46" spans="1:5" x14ac:dyDescent="0.2">
      <c r="A46" s="1">
        <v>45901</v>
      </c>
      <c r="C46">
        <f t="shared" si="0"/>
        <v>17.071462393245106</v>
      </c>
      <c r="D46" s="17">
        <f t="shared" si="1"/>
        <v>16.047199545884588</v>
      </c>
      <c r="E46" s="17">
        <f t="shared" si="2"/>
        <v>18.095725240605624</v>
      </c>
    </row>
    <row r="47" spans="1:5" x14ac:dyDescent="0.2">
      <c r="A47" s="1">
        <v>45931</v>
      </c>
      <c r="C47">
        <f t="shared" si="0"/>
        <v>13.220349136700881</v>
      </c>
      <c r="D47" s="17">
        <f t="shared" si="1"/>
        <v>12.153227089357703</v>
      </c>
      <c r="E47" s="17">
        <f t="shared" si="2"/>
        <v>14.287471184044058</v>
      </c>
    </row>
    <row r="48" spans="1:5" x14ac:dyDescent="0.2">
      <c r="A48" s="1">
        <v>45962</v>
      </c>
      <c r="C48">
        <f t="shared" si="0"/>
        <v>15.177887866559958</v>
      </c>
      <c r="D48" s="17">
        <f t="shared" si="1"/>
        <v>14.069404036223386</v>
      </c>
      <c r="E48" s="17">
        <f t="shared" si="2"/>
        <v>16.286371696896531</v>
      </c>
    </row>
    <row r="49" spans="1:5" x14ac:dyDescent="0.2">
      <c r="A49" s="1">
        <v>45992</v>
      </c>
      <c r="C49">
        <f t="shared" si="0"/>
        <v>14.936194352121696</v>
      </c>
      <c r="D49" s="17">
        <f t="shared" si="1"/>
        <v>13.787684062967148</v>
      </c>
      <c r="E49" s="17">
        <f t="shared" si="2"/>
        <v>16.084704641276243</v>
      </c>
    </row>
    <row r="50" spans="1:5" x14ac:dyDescent="0.2">
      <c r="A50" s="1">
        <v>46023</v>
      </c>
      <c r="C50">
        <f t="shared" si="0"/>
        <v>11.585200807070194</v>
      </c>
      <c r="D50" s="17">
        <f t="shared" si="1"/>
        <v>10.397715008356926</v>
      </c>
      <c r="E50" s="17">
        <f t="shared" si="2"/>
        <v>12.772686605783463</v>
      </c>
    </row>
    <row r="51" spans="1:5" x14ac:dyDescent="0.2">
      <c r="A51" s="1">
        <v>46054</v>
      </c>
      <c r="C51">
        <f t="shared" si="0"/>
        <v>10.645139834429109</v>
      </c>
      <c r="D51" s="17">
        <f t="shared" si="1"/>
        <v>9.4199177484391807</v>
      </c>
      <c r="E51" s="17">
        <f t="shared" si="2"/>
        <v>11.870361920419038</v>
      </c>
    </row>
    <row r="52" spans="1:5" x14ac:dyDescent="0.2">
      <c r="A52" s="1">
        <v>46082</v>
      </c>
      <c r="C52">
        <f t="shared" si="0"/>
        <v>15.479117679157287</v>
      </c>
      <c r="D52" s="17">
        <f t="shared" si="1"/>
        <v>14.217146835777589</v>
      </c>
      <c r="E52" s="17">
        <f t="shared" si="2"/>
        <v>16.741088522536984</v>
      </c>
    </row>
    <row r="53" spans="1:5" x14ac:dyDescent="0.2">
      <c r="A53" s="1">
        <v>46113</v>
      </c>
      <c r="C53">
        <f t="shared" si="0"/>
        <v>14.279168307446467</v>
      </c>
      <c r="D53" s="17">
        <f t="shared" si="1"/>
        <v>12.981352080082168</v>
      </c>
      <c r="E53" s="17">
        <f t="shared" si="2"/>
        <v>15.576984534810766</v>
      </c>
    </row>
    <row r="54" spans="1:5" x14ac:dyDescent="0.2">
      <c r="A54" s="1">
        <v>46143</v>
      </c>
      <c r="C54">
        <f t="shared" si="0"/>
        <v>17.60137904841535</v>
      </c>
      <c r="D54" s="17">
        <f t="shared" si="1"/>
        <v>16.268547663490022</v>
      </c>
      <c r="E54" s="17">
        <f t="shared" si="2"/>
        <v>18.934210433340677</v>
      </c>
    </row>
    <row r="55" spans="1:5" x14ac:dyDescent="0.2">
      <c r="A55" s="1">
        <v>46174</v>
      </c>
      <c r="C55">
        <f t="shared" si="0"/>
        <v>19.635384335706849</v>
      </c>
      <c r="D55" s="17">
        <f t="shared" si="1"/>
        <v>18.26830397205897</v>
      </c>
      <c r="E55" s="17">
        <f t="shared" si="2"/>
        <v>21.002464699354729</v>
      </c>
    </row>
    <row r="56" spans="1:5" x14ac:dyDescent="0.2">
      <c r="A56" s="1">
        <v>46204</v>
      </c>
      <c r="C56">
        <f t="shared" si="0"/>
        <v>21.799123382855974</v>
      </c>
      <c r="D56" s="17">
        <f t="shared" si="1"/>
        <v>20.398503766637994</v>
      </c>
      <c r="E56" s="17">
        <f t="shared" si="2"/>
        <v>23.199742999073955</v>
      </c>
    </row>
    <row r="57" spans="1:5" x14ac:dyDescent="0.2">
      <c r="A57" s="1">
        <v>46235</v>
      </c>
      <c r="C57">
        <f t="shared" si="0"/>
        <v>20.005639276681258</v>
      </c>
      <c r="D57" s="17">
        <f t="shared" si="1"/>
        <v>18.572140076867576</v>
      </c>
      <c r="E57" s="17">
        <f t="shared" si="2"/>
        <v>21.439138476494939</v>
      </c>
    </row>
    <row r="58" spans="1:5" x14ac:dyDescent="0.2">
      <c r="A58" s="1">
        <v>46266</v>
      </c>
      <c r="C58">
        <f t="shared" si="0"/>
        <v>17.381490175244735</v>
      </c>
      <c r="D58" s="17">
        <f t="shared" si="1"/>
        <v>15.915726432514424</v>
      </c>
      <c r="E58" s="17">
        <f t="shared" si="2"/>
        <v>18.847253917975049</v>
      </c>
    </row>
    <row r="59" spans="1:5" x14ac:dyDescent="0.2">
      <c r="A59" s="1">
        <v>46296</v>
      </c>
      <c r="C59">
        <f t="shared" si="0"/>
        <v>13.530376918700508</v>
      </c>
      <c r="D59" s="17">
        <f t="shared" si="1"/>
        <v>12.032923687551346</v>
      </c>
      <c r="E59" s="17">
        <f t="shared" si="2"/>
        <v>15.02783014984967</v>
      </c>
    </row>
    <row r="60" spans="1:5" x14ac:dyDescent="0.2">
      <c r="A60" s="1">
        <v>46327</v>
      </c>
      <c r="C60">
        <f t="shared" si="0"/>
        <v>15.487915648559587</v>
      </c>
      <c r="D60" s="17">
        <f t="shared" si="1"/>
        <v>13.959311993248342</v>
      </c>
      <c r="E60" s="17">
        <f t="shared" si="2"/>
        <v>17.016519303870833</v>
      </c>
    </row>
    <row r="61" spans="1:5" x14ac:dyDescent="0.2">
      <c r="A61" s="1">
        <v>46357</v>
      </c>
      <c r="C61">
        <f t="shared" si="0"/>
        <v>15.246222134121323</v>
      </c>
      <c r="D61" s="17">
        <f t="shared" si="1"/>
        <v>13.686974589504427</v>
      </c>
      <c r="E61" s="17">
        <f t="shared" si="2"/>
        <v>16.80546967873822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02BD-EDF9-42D1-87B2-D8EEF6C93A65}">
  <dimension ref="A1:B448"/>
  <sheetViews>
    <sheetView workbookViewId="0">
      <selection activeCell="K44" sqref="K44"/>
    </sheetView>
  </sheetViews>
  <sheetFormatPr baseColWidth="10" defaultColWidth="8.83203125" defaultRowHeight="15" x14ac:dyDescent="0.2"/>
  <cols>
    <col min="2" max="2" width="10.6640625"/>
  </cols>
  <sheetData>
    <row r="1" spans="1:2" x14ac:dyDescent="0.2">
      <c r="A1" t="s">
        <v>0</v>
      </c>
      <c r="B1" t="s">
        <v>29</v>
      </c>
    </row>
    <row r="2" spans="1:2" x14ac:dyDescent="0.2">
      <c r="A2">
        <v>7</v>
      </c>
      <c r="B2" s="1">
        <f>DATE(sales__2[[#This Row],[year]],sales__2[[#This Row],[month]],1)</f>
        <v>44562</v>
      </c>
    </row>
    <row r="3" spans="1:2" x14ac:dyDescent="0.2">
      <c r="A3">
        <v>8</v>
      </c>
      <c r="B3" s="1">
        <f>DATE(sales__2[[#This Row],[year]],sales__2[[#This Row],[month]],1)</f>
        <v>44562</v>
      </c>
    </row>
    <row r="4" spans="1:2" x14ac:dyDescent="0.2">
      <c r="A4">
        <v>12</v>
      </c>
      <c r="B4" s="1">
        <f>DATE(sales__2[[#This Row],[year]],sales__2[[#This Row],[month]],1)</f>
        <v>44562</v>
      </c>
    </row>
    <row r="5" spans="1:2" x14ac:dyDescent="0.2">
      <c r="A5">
        <v>3</v>
      </c>
      <c r="B5" s="1">
        <f>DATE(sales__2[[#This Row],[year]],sales__2[[#This Row],[month]],1)</f>
        <v>44562</v>
      </c>
    </row>
    <row r="6" spans="1:2" x14ac:dyDescent="0.2">
      <c r="A6">
        <v>18</v>
      </c>
      <c r="B6" s="1">
        <f>DATE(sales__2[[#This Row],[year]],sales__2[[#This Row],[month]],1)</f>
        <v>44562</v>
      </c>
    </row>
    <row r="7" spans="1:2" x14ac:dyDescent="0.2">
      <c r="A7">
        <v>7</v>
      </c>
      <c r="B7" s="1">
        <f>DATE(sales__2[[#This Row],[year]],sales__2[[#This Row],[month]],1)</f>
        <v>44562</v>
      </c>
    </row>
    <row r="8" spans="1:2" x14ac:dyDescent="0.2">
      <c r="A8">
        <v>8</v>
      </c>
      <c r="B8" s="1">
        <f>DATE(sales__2[[#This Row],[year]],sales__2[[#This Row],[month]],1)</f>
        <v>44562</v>
      </c>
    </row>
    <row r="9" spans="1:2" x14ac:dyDescent="0.2">
      <c r="A9">
        <v>15</v>
      </c>
      <c r="B9" s="1">
        <f>DATE(sales__2[[#This Row],[year]],sales__2[[#This Row],[month]],1)</f>
        <v>44562</v>
      </c>
    </row>
    <row r="10" spans="1:2" x14ac:dyDescent="0.2">
      <c r="A10">
        <v>20</v>
      </c>
      <c r="B10" s="1">
        <f>DATE(sales__2[[#This Row],[year]],sales__2[[#This Row],[month]],1)</f>
        <v>44562</v>
      </c>
    </row>
    <row r="11" spans="1:2" x14ac:dyDescent="0.2">
      <c r="A11">
        <v>10</v>
      </c>
      <c r="B11" s="1">
        <f>DATE(sales__2[[#This Row],[year]],sales__2[[#This Row],[month]],1)</f>
        <v>44562</v>
      </c>
    </row>
    <row r="12" spans="1:2" x14ac:dyDescent="0.2">
      <c r="A12">
        <v>6</v>
      </c>
      <c r="B12" s="1">
        <f>DATE(sales__2[[#This Row],[year]],sales__2[[#This Row],[month]],1)</f>
        <v>44562</v>
      </c>
    </row>
    <row r="13" spans="1:2" x14ac:dyDescent="0.2">
      <c r="A13">
        <v>11</v>
      </c>
      <c r="B13" s="1">
        <f>DATE(sales__2[[#This Row],[year]],sales__2[[#This Row],[month]],1)</f>
        <v>44562</v>
      </c>
    </row>
    <row r="14" spans="1:2" x14ac:dyDescent="0.2">
      <c r="A14">
        <v>2</v>
      </c>
      <c r="B14" s="1">
        <f>DATE(sales__2[[#This Row],[year]],sales__2[[#This Row],[month]],1)</f>
        <v>44562</v>
      </c>
    </row>
    <row r="15" spans="1:2" x14ac:dyDescent="0.2">
      <c r="A15">
        <v>15</v>
      </c>
      <c r="B15" s="1">
        <f>DATE(sales__2[[#This Row],[year]],sales__2[[#This Row],[month]],1)</f>
        <v>44562</v>
      </c>
    </row>
    <row r="16" spans="1:2" x14ac:dyDescent="0.2">
      <c r="A16">
        <v>7</v>
      </c>
      <c r="B16" s="1">
        <f>DATE(sales__2[[#This Row],[year]],sales__2[[#This Row],[month]],1)</f>
        <v>44562</v>
      </c>
    </row>
    <row r="17" spans="1:2" x14ac:dyDescent="0.2">
      <c r="A17">
        <v>8</v>
      </c>
      <c r="B17" s="1">
        <f>DATE(sales__2[[#This Row],[year]],sales__2[[#This Row],[month]],1)</f>
        <v>44593</v>
      </c>
    </row>
    <row r="18" spans="1:2" x14ac:dyDescent="0.2">
      <c r="A18">
        <v>7</v>
      </c>
      <c r="B18" s="1">
        <f>DATE(sales__2[[#This Row],[year]],sales__2[[#This Row],[month]],1)</f>
        <v>44593</v>
      </c>
    </row>
    <row r="19" spans="1:2" x14ac:dyDescent="0.2">
      <c r="A19">
        <v>6</v>
      </c>
      <c r="B19" s="1">
        <f>DATE(sales__2[[#This Row],[year]],sales__2[[#This Row],[month]],1)</f>
        <v>44593</v>
      </c>
    </row>
    <row r="20" spans="1:2" x14ac:dyDescent="0.2">
      <c r="A20">
        <v>12</v>
      </c>
      <c r="B20" s="1">
        <f>DATE(sales__2[[#This Row],[year]],sales__2[[#This Row],[month]],1)</f>
        <v>44593</v>
      </c>
    </row>
    <row r="21" spans="1:2" x14ac:dyDescent="0.2">
      <c r="A21">
        <v>16</v>
      </c>
      <c r="B21" s="1">
        <f>DATE(sales__2[[#This Row],[year]],sales__2[[#This Row],[month]],1)</f>
        <v>44593</v>
      </c>
    </row>
    <row r="22" spans="1:2" x14ac:dyDescent="0.2">
      <c r="A22">
        <v>8</v>
      </c>
      <c r="B22" s="1">
        <f>DATE(sales__2[[#This Row],[year]],sales__2[[#This Row],[month]],1)</f>
        <v>44593</v>
      </c>
    </row>
    <row r="23" spans="1:2" x14ac:dyDescent="0.2">
      <c r="A23">
        <v>5</v>
      </c>
      <c r="B23" s="1">
        <f>DATE(sales__2[[#This Row],[year]],sales__2[[#This Row],[month]],1)</f>
        <v>44593</v>
      </c>
    </row>
    <row r="24" spans="1:2" x14ac:dyDescent="0.2">
      <c r="A24">
        <v>10</v>
      </c>
      <c r="B24" s="1">
        <f>DATE(sales__2[[#This Row],[year]],sales__2[[#This Row],[month]],1)</f>
        <v>44593</v>
      </c>
    </row>
    <row r="25" spans="1:2" x14ac:dyDescent="0.2">
      <c r="A25">
        <v>13</v>
      </c>
      <c r="B25" s="1">
        <f>DATE(sales__2[[#This Row],[year]],sales__2[[#This Row],[month]],1)</f>
        <v>44593</v>
      </c>
    </row>
    <row r="26" spans="1:2" x14ac:dyDescent="0.2">
      <c r="A26">
        <v>6</v>
      </c>
      <c r="B26" s="1">
        <f>DATE(sales__2[[#This Row],[year]],sales__2[[#This Row],[month]],1)</f>
        <v>44593</v>
      </c>
    </row>
    <row r="27" spans="1:2" x14ac:dyDescent="0.2">
      <c r="A27">
        <v>12</v>
      </c>
      <c r="B27" s="1">
        <f>DATE(sales__2[[#This Row],[year]],sales__2[[#This Row],[month]],1)</f>
        <v>44621</v>
      </c>
    </row>
    <row r="28" spans="1:2" x14ac:dyDescent="0.2">
      <c r="A28">
        <v>8</v>
      </c>
      <c r="B28" s="1">
        <f>DATE(sales__2[[#This Row],[year]],sales__2[[#This Row],[month]],1)</f>
        <v>44621</v>
      </c>
    </row>
    <row r="29" spans="1:2" x14ac:dyDescent="0.2">
      <c r="A29">
        <v>7</v>
      </c>
      <c r="B29" s="1">
        <f>DATE(sales__2[[#This Row],[year]],sales__2[[#This Row],[month]],1)</f>
        <v>44621</v>
      </c>
    </row>
    <row r="30" spans="1:2" x14ac:dyDescent="0.2">
      <c r="A30">
        <v>15</v>
      </c>
      <c r="B30" s="1">
        <f>DATE(sales__2[[#This Row],[year]],sales__2[[#This Row],[month]],1)</f>
        <v>44621</v>
      </c>
    </row>
    <row r="31" spans="1:2" x14ac:dyDescent="0.2">
      <c r="A31">
        <v>18</v>
      </c>
      <c r="B31" s="1">
        <f>DATE(sales__2[[#This Row],[year]],sales__2[[#This Row],[month]],1)</f>
        <v>44621</v>
      </c>
    </row>
    <row r="32" spans="1:2" x14ac:dyDescent="0.2">
      <c r="A32">
        <v>20</v>
      </c>
      <c r="B32" s="1">
        <f>DATE(sales__2[[#This Row],[year]],sales__2[[#This Row],[month]],1)</f>
        <v>44621</v>
      </c>
    </row>
    <row r="33" spans="1:2" x14ac:dyDescent="0.2">
      <c r="A33">
        <v>16</v>
      </c>
      <c r="B33" s="1">
        <f>DATE(sales__2[[#This Row],[year]],sales__2[[#This Row],[month]],1)</f>
        <v>44621</v>
      </c>
    </row>
    <row r="34" spans="1:2" x14ac:dyDescent="0.2">
      <c r="A34">
        <v>11</v>
      </c>
      <c r="B34" s="1">
        <f>DATE(sales__2[[#This Row],[year]],sales__2[[#This Row],[month]],1)</f>
        <v>44621</v>
      </c>
    </row>
    <row r="35" spans="1:2" x14ac:dyDescent="0.2">
      <c r="A35">
        <v>15</v>
      </c>
      <c r="B35" s="1">
        <f>DATE(sales__2[[#This Row],[year]],sales__2[[#This Row],[month]],1)</f>
        <v>44621</v>
      </c>
    </row>
    <row r="36" spans="1:2" x14ac:dyDescent="0.2">
      <c r="A36">
        <v>16</v>
      </c>
      <c r="B36" s="1">
        <f>DATE(sales__2[[#This Row],[year]],sales__2[[#This Row],[month]],1)</f>
        <v>44621</v>
      </c>
    </row>
    <row r="37" spans="1:2" x14ac:dyDescent="0.2">
      <c r="A37">
        <v>8</v>
      </c>
      <c r="B37" s="1">
        <f>DATE(sales__2[[#This Row],[year]],sales__2[[#This Row],[month]],1)</f>
        <v>44621</v>
      </c>
    </row>
    <row r="38" spans="1:2" x14ac:dyDescent="0.2">
      <c r="A38">
        <v>14</v>
      </c>
      <c r="B38" s="1">
        <f>DATE(sales__2[[#This Row],[year]],sales__2[[#This Row],[month]],1)</f>
        <v>44652</v>
      </c>
    </row>
    <row r="39" spans="1:2" x14ac:dyDescent="0.2">
      <c r="A39">
        <v>10</v>
      </c>
      <c r="B39" s="1">
        <f>DATE(sales__2[[#This Row],[year]],sales__2[[#This Row],[month]],1)</f>
        <v>44652</v>
      </c>
    </row>
    <row r="40" spans="1:2" x14ac:dyDescent="0.2">
      <c r="A40">
        <v>9</v>
      </c>
      <c r="B40" s="1">
        <f>DATE(sales__2[[#This Row],[year]],sales__2[[#This Row],[month]],1)</f>
        <v>44652</v>
      </c>
    </row>
    <row r="41" spans="1:2" x14ac:dyDescent="0.2">
      <c r="A41">
        <v>16</v>
      </c>
      <c r="B41" s="1">
        <f>DATE(sales__2[[#This Row],[year]],sales__2[[#This Row],[month]],1)</f>
        <v>44652</v>
      </c>
    </row>
    <row r="42" spans="1:2" x14ac:dyDescent="0.2">
      <c r="A42">
        <v>4</v>
      </c>
      <c r="B42" s="1">
        <f>DATE(sales__2[[#This Row],[year]],sales__2[[#This Row],[month]],1)</f>
        <v>44652</v>
      </c>
    </row>
    <row r="43" spans="1:2" x14ac:dyDescent="0.2">
      <c r="A43">
        <v>23</v>
      </c>
      <c r="B43" s="1">
        <f>DATE(sales__2[[#This Row],[year]],sales__2[[#This Row],[month]],1)</f>
        <v>44652</v>
      </c>
    </row>
    <row r="44" spans="1:2" x14ac:dyDescent="0.2">
      <c r="A44">
        <v>20</v>
      </c>
      <c r="B44" s="1">
        <f>DATE(sales__2[[#This Row],[year]],sales__2[[#This Row],[month]],1)</f>
        <v>44652</v>
      </c>
    </row>
    <row r="45" spans="1:2" x14ac:dyDescent="0.2">
      <c r="A45">
        <v>13</v>
      </c>
      <c r="B45" s="1">
        <f>DATE(sales__2[[#This Row],[year]],sales__2[[#This Row],[month]],1)</f>
        <v>44652</v>
      </c>
    </row>
    <row r="46" spans="1:2" x14ac:dyDescent="0.2">
      <c r="A46">
        <v>7</v>
      </c>
      <c r="B46" s="1">
        <f>DATE(sales__2[[#This Row],[year]],sales__2[[#This Row],[month]],1)</f>
        <v>44652</v>
      </c>
    </row>
    <row r="47" spans="1:2" x14ac:dyDescent="0.2">
      <c r="A47">
        <v>15</v>
      </c>
      <c r="B47" s="1">
        <f>DATE(sales__2[[#This Row],[year]],sales__2[[#This Row],[month]],1)</f>
        <v>44652</v>
      </c>
    </row>
    <row r="48" spans="1:2" x14ac:dyDescent="0.2">
      <c r="A48">
        <v>3</v>
      </c>
      <c r="B48" s="1">
        <f>DATE(sales__2[[#This Row],[year]],sales__2[[#This Row],[month]],1)</f>
        <v>44652</v>
      </c>
    </row>
    <row r="49" spans="1:2" x14ac:dyDescent="0.2">
      <c r="A49">
        <v>18</v>
      </c>
      <c r="B49" s="1">
        <f>DATE(sales__2[[#This Row],[year]],sales__2[[#This Row],[month]],1)</f>
        <v>44652</v>
      </c>
    </row>
    <row r="50" spans="1:2" x14ac:dyDescent="0.2">
      <c r="A50">
        <v>9</v>
      </c>
      <c r="B50" s="1">
        <f>DATE(sales__2[[#This Row],[year]],sales__2[[#This Row],[month]],1)</f>
        <v>44652</v>
      </c>
    </row>
    <row r="51" spans="1:2" x14ac:dyDescent="0.2">
      <c r="A51">
        <v>16</v>
      </c>
      <c r="B51" s="1">
        <f>DATE(sales__2[[#This Row],[year]],sales__2[[#This Row],[month]],1)</f>
        <v>44682</v>
      </c>
    </row>
    <row r="52" spans="1:2" x14ac:dyDescent="0.2">
      <c r="A52">
        <v>12</v>
      </c>
      <c r="B52" s="1">
        <f>DATE(sales__2[[#This Row],[year]],sales__2[[#This Row],[month]],1)</f>
        <v>44682</v>
      </c>
    </row>
    <row r="53" spans="1:2" x14ac:dyDescent="0.2">
      <c r="A53">
        <v>11</v>
      </c>
      <c r="B53" s="1">
        <f>DATE(sales__2[[#This Row],[year]],sales__2[[#This Row],[month]],1)</f>
        <v>44682</v>
      </c>
    </row>
    <row r="54" spans="1:2" x14ac:dyDescent="0.2">
      <c r="A54">
        <v>18</v>
      </c>
      <c r="B54" s="1">
        <f>DATE(sales__2[[#This Row],[year]],sales__2[[#This Row],[month]],1)</f>
        <v>44682</v>
      </c>
    </row>
    <row r="55" spans="1:2" x14ac:dyDescent="0.2">
      <c r="A55">
        <v>12</v>
      </c>
      <c r="B55" s="1">
        <f>DATE(sales__2[[#This Row],[year]],sales__2[[#This Row],[month]],1)</f>
        <v>44682</v>
      </c>
    </row>
    <row r="56" spans="1:2" x14ac:dyDescent="0.2">
      <c r="A56">
        <v>25</v>
      </c>
      <c r="B56" s="1">
        <f>DATE(sales__2[[#This Row],[year]],sales__2[[#This Row],[month]],1)</f>
        <v>44682</v>
      </c>
    </row>
    <row r="57" spans="1:2" x14ac:dyDescent="0.2">
      <c r="A57">
        <v>20</v>
      </c>
      <c r="B57" s="1">
        <f>DATE(sales__2[[#This Row],[year]],sales__2[[#This Row],[month]],1)</f>
        <v>44682</v>
      </c>
    </row>
    <row r="58" spans="1:2" x14ac:dyDescent="0.2">
      <c r="A58">
        <v>15</v>
      </c>
      <c r="B58" s="1">
        <f>DATE(sales__2[[#This Row],[year]],sales__2[[#This Row],[month]],1)</f>
        <v>44682</v>
      </c>
    </row>
    <row r="59" spans="1:2" x14ac:dyDescent="0.2">
      <c r="A59">
        <v>17</v>
      </c>
      <c r="B59" s="1">
        <f>DATE(sales__2[[#This Row],[year]],sales__2[[#This Row],[month]],1)</f>
        <v>44682</v>
      </c>
    </row>
    <row r="60" spans="1:2" x14ac:dyDescent="0.2">
      <c r="A60">
        <v>20</v>
      </c>
      <c r="B60" s="1">
        <f>DATE(sales__2[[#This Row],[year]],sales__2[[#This Row],[month]],1)</f>
        <v>44682</v>
      </c>
    </row>
    <row r="61" spans="1:2" x14ac:dyDescent="0.2">
      <c r="A61">
        <v>10</v>
      </c>
      <c r="B61" s="1">
        <f>DATE(sales__2[[#This Row],[year]],sales__2[[#This Row],[month]],1)</f>
        <v>44682</v>
      </c>
    </row>
    <row r="62" spans="1:2" x14ac:dyDescent="0.2">
      <c r="A62">
        <v>18</v>
      </c>
      <c r="B62" s="1">
        <f>DATE(sales__2[[#This Row],[year]],sales__2[[#This Row],[month]],1)</f>
        <v>44713</v>
      </c>
    </row>
    <row r="63" spans="1:2" x14ac:dyDescent="0.2">
      <c r="A63">
        <v>15</v>
      </c>
      <c r="B63" s="1">
        <f>DATE(sales__2[[#This Row],[year]],sales__2[[#This Row],[month]],1)</f>
        <v>44713</v>
      </c>
    </row>
    <row r="64" spans="1:2" x14ac:dyDescent="0.2">
      <c r="A64">
        <v>12</v>
      </c>
      <c r="B64" s="1">
        <f>DATE(sales__2[[#This Row],[year]],sales__2[[#This Row],[month]],1)</f>
        <v>44713</v>
      </c>
    </row>
    <row r="65" spans="1:2" x14ac:dyDescent="0.2">
      <c r="A65">
        <v>22</v>
      </c>
      <c r="B65" s="1">
        <f>DATE(sales__2[[#This Row],[year]],sales__2[[#This Row],[month]],1)</f>
        <v>44713</v>
      </c>
    </row>
    <row r="66" spans="1:2" x14ac:dyDescent="0.2">
      <c r="A66">
        <v>26</v>
      </c>
      <c r="B66" s="1">
        <f>DATE(sales__2[[#This Row],[year]],sales__2[[#This Row],[month]],1)</f>
        <v>44713</v>
      </c>
    </row>
    <row r="67" spans="1:2" x14ac:dyDescent="0.2">
      <c r="A67">
        <v>27</v>
      </c>
      <c r="B67" s="1">
        <f>DATE(sales__2[[#This Row],[year]],sales__2[[#This Row],[month]],1)</f>
        <v>44713</v>
      </c>
    </row>
    <row r="68" spans="1:2" x14ac:dyDescent="0.2">
      <c r="A68">
        <v>25</v>
      </c>
      <c r="B68" s="1">
        <f>DATE(sales__2[[#This Row],[year]],sales__2[[#This Row],[month]],1)</f>
        <v>44713</v>
      </c>
    </row>
    <row r="69" spans="1:2" x14ac:dyDescent="0.2">
      <c r="A69">
        <v>22</v>
      </c>
      <c r="B69" s="1">
        <f>DATE(sales__2[[#This Row],[year]],sales__2[[#This Row],[month]],1)</f>
        <v>44713</v>
      </c>
    </row>
    <row r="70" spans="1:2" x14ac:dyDescent="0.2">
      <c r="A70">
        <v>17</v>
      </c>
      <c r="B70" s="1">
        <f>DATE(sales__2[[#This Row],[year]],sales__2[[#This Row],[month]],1)</f>
        <v>44713</v>
      </c>
    </row>
    <row r="71" spans="1:2" x14ac:dyDescent="0.2">
      <c r="A71">
        <v>9</v>
      </c>
      <c r="B71" s="1">
        <f>DATE(sales__2[[#This Row],[year]],sales__2[[#This Row],[month]],1)</f>
        <v>44713</v>
      </c>
    </row>
    <row r="72" spans="1:2" x14ac:dyDescent="0.2">
      <c r="A72">
        <v>18</v>
      </c>
      <c r="B72" s="1">
        <f>DATE(sales__2[[#This Row],[year]],sales__2[[#This Row],[month]],1)</f>
        <v>44713</v>
      </c>
    </row>
    <row r="73" spans="1:2" x14ac:dyDescent="0.2">
      <c r="A73">
        <v>23</v>
      </c>
      <c r="B73" s="1">
        <f>DATE(sales__2[[#This Row],[year]],sales__2[[#This Row],[month]],1)</f>
        <v>44713</v>
      </c>
    </row>
    <row r="74" spans="1:2" x14ac:dyDescent="0.2">
      <c r="A74">
        <v>12</v>
      </c>
      <c r="B74" s="1">
        <f>DATE(sales__2[[#This Row],[year]],sales__2[[#This Row],[month]],1)</f>
        <v>44713</v>
      </c>
    </row>
    <row r="75" spans="1:2" x14ac:dyDescent="0.2">
      <c r="A75">
        <v>20</v>
      </c>
      <c r="B75" s="1">
        <f>DATE(sales__2[[#This Row],[year]],sales__2[[#This Row],[month]],1)</f>
        <v>44743</v>
      </c>
    </row>
    <row r="76" spans="1:2" x14ac:dyDescent="0.2">
      <c r="A76">
        <v>16</v>
      </c>
      <c r="B76" s="1">
        <f>DATE(sales__2[[#This Row],[year]],sales__2[[#This Row],[month]],1)</f>
        <v>44743</v>
      </c>
    </row>
    <row r="77" spans="1:2" x14ac:dyDescent="0.2">
      <c r="A77">
        <v>3</v>
      </c>
      <c r="B77" s="1">
        <f>DATE(sales__2[[#This Row],[year]],sales__2[[#This Row],[month]],1)</f>
        <v>44743</v>
      </c>
    </row>
    <row r="78" spans="1:2" x14ac:dyDescent="0.2">
      <c r="A78">
        <v>25</v>
      </c>
      <c r="B78" s="1">
        <f>DATE(sales__2[[#This Row],[year]],sales__2[[#This Row],[month]],1)</f>
        <v>44743</v>
      </c>
    </row>
    <row r="79" spans="1:2" x14ac:dyDescent="0.2">
      <c r="A79">
        <v>25</v>
      </c>
      <c r="B79" s="1">
        <f>DATE(sales__2[[#This Row],[year]],sales__2[[#This Row],[month]],1)</f>
        <v>44743</v>
      </c>
    </row>
    <row r="80" spans="1:2" x14ac:dyDescent="0.2">
      <c r="A80">
        <v>30</v>
      </c>
      <c r="B80" s="1">
        <f>DATE(sales__2[[#This Row],[year]],sales__2[[#This Row],[month]],1)</f>
        <v>44743</v>
      </c>
    </row>
    <row r="81" spans="1:2" x14ac:dyDescent="0.2">
      <c r="A81">
        <v>28</v>
      </c>
      <c r="B81" s="1">
        <f>DATE(sales__2[[#This Row],[year]],sales__2[[#This Row],[month]],1)</f>
        <v>44743</v>
      </c>
    </row>
    <row r="82" spans="1:2" x14ac:dyDescent="0.2">
      <c r="A82">
        <v>25</v>
      </c>
      <c r="B82" s="1">
        <f>DATE(sales__2[[#This Row],[year]],sales__2[[#This Row],[month]],1)</f>
        <v>44743</v>
      </c>
    </row>
    <row r="83" spans="1:2" x14ac:dyDescent="0.2">
      <c r="A83">
        <v>19</v>
      </c>
      <c r="B83" s="1">
        <f>DATE(sales__2[[#This Row],[year]],sales__2[[#This Row],[month]],1)</f>
        <v>44743</v>
      </c>
    </row>
    <row r="84" spans="1:2" x14ac:dyDescent="0.2">
      <c r="A84">
        <v>10</v>
      </c>
      <c r="B84" s="1">
        <f>DATE(sales__2[[#This Row],[year]],sales__2[[#This Row],[month]],1)</f>
        <v>44743</v>
      </c>
    </row>
    <row r="85" spans="1:2" x14ac:dyDescent="0.2">
      <c r="A85">
        <v>23</v>
      </c>
      <c r="B85" s="1">
        <f>DATE(sales__2[[#This Row],[year]],sales__2[[#This Row],[month]],1)</f>
        <v>44743</v>
      </c>
    </row>
    <row r="86" spans="1:2" x14ac:dyDescent="0.2">
      <c r="A86">
        <v>26</v>
      </c>
      <c r="B86" s="1">
        <f>DATE(sales__2[[#This Row],[year]],sales__2[[#This Row],[month]],1)</f>
        <v>44743</v>
      </c>
    </row>
    <row r="87" spans="1:2" x14ac:dyDescent="0.2">
      <c r="A87">
        <v>14</v>
      </c>
      <c r="B87" s="1">
        <f>DATE(sales__2[[#This Row],[year]],sales__2[[#This Row],[month]],1)</f>
        <v>44743</v>
      </c>
    </row>
    <row r="88" spans="1:2" x14ac:dyDescent="0.2">
      <c r="A88">
        <v>18</v>
      </c>
      <c r="B88" s="1">
        <f>DATE(sales__2[[#This Row],[year]],sales__2[[#This Row],[month]],1)</f>
        <v>44774</v>
      </c>
    </row>
    <row r="89" spans="1:2" x14ac:dyDescent="0.2">
      <c r="A89">
        <v>14</v>
      </c>
      <c r="B89" s="1">
        <f>DATE(sales__2[[#This Row],[year]],sales__2[[#This Row],[month]],1)</f>
        <v>44774</v>
      </c>
    </row>
    <row r="90" spans="1:2" x14ac:dyDescent="0.2">
      <c r="A90">
        <v>13</v>
      </c>
      <c r="B90" s="1">
        <f>DATE(sales__2[[#This Row],[year]],sales__2[[#This Row],[month]],1)</f>
        <v>44774</v>
      </c>
    </row>
    <row r="91" spans="1:2" x14ac:dyDescent="0.2">
      <c r="A91">
        <v>23</v>
      </c>
      <c r="B91" s="1">
        <f>DATE(sales__2[[#This Row],[year]],sales__2[[#This Row],[month]],1)</f>
        <v>44774</v>
      </c>
    </row>
    <row r="92" spans="1:2" x14ac:dyDescent="0.2">
      <c r="A92">
        <v>25</v>
      </c>
      <c r="B92" s="1">
        <f>DATE(sales__2[[#This Row],[year]],sales__2[[#This Row],[month]],1)</f>
        <v>44774</v>
      </c>
    </row>
    <row r="93" spans="1:2" x14ac:dyDescent="0.2">
      <c r="A93">
        <v>27</v>
      </c>
      <c r="B93" s="1">
        <f>DATE(sales__2[[#This Row],[year]],sales__2[[#This Row],[month]],1)</f>
        <v>44774</v>
      </c>
    </row>
    <row r="94" spans="1:2" x14ac:dyDescent="0.2">
      <c r="A94">
        <v>25</v>
      </c>
      <c r="B94" s="1">
        <f>DATE(sales__2[[#This Row],[year]],sales__2[[#This Row],[month]],1)</f>
        <v>44774</v>
      </c>
    </row>
    <row r="95" spans="1:2" x14ac:dyDescent="0.2">
      <c r="A95">
        <v>17</v>
      </c>
      <c r="B95" s="1">
        <f>DATE(sales__2[[#This Row],[year]],sales__2[[#This Row],[month]],1)</f>
        <v>44774</v>
      </c>
    </row>
    <row r="96" spans="1:2" x14ac:dyDescent="0.2">
      <c r="A96">
        <v>10</v>
      </c>
      <c r="B96" s="1">
        <f>DATE(sales__2[[#This Row],[year]],sales__2[[#This Row],[month]],1)</f>
        <v>44774</v>
      </c>
    </row>
    <row r="97" spans="1:2" x14ac:dyDescent="0.2">
      <c r="A97">
        <v>21</v>
      </c>
      <c r="B97" s="1">
        <f>DATE(sales__2[[#This Row],[year]],sales__2[[#This Row],[month]],1)</f>
        <v>44774</v>
      </c>
    </row>
    <row r="98" spans="1:2" x14ac:dyDescent="0.2">
      <c r="A98">
        <v>24</v>
      </c>
      <c r="B98" s="1">
        <f>DATE(sales__2[[#This Row],[year]],sales__2[[#This Row],[month]],1)</f>
        <v>44774</v>
      </c>
    </row>
    <row r="99" spans="1:2" x14ac:dyDescent="0.2">
      <c r="A99">
        <v>13</v>
      </c>
      <c r="B99" s="1">
        <f>DATE(sales__2[[#This Row],[year]],sales__2[[#This Row],[month]],1)</f>
        <v>44774</v>
      </c>
    </row>
    <row r="100" spans="1:2" x14ac:dyDescent="0.2">
      <c r="A100">
        <v>15</v>
      </c>
      <c r="B100" s="1">
        <f>DATE(sales__2[[#This Row],[year]],sales__2[[#This Row],[month]],1)</f>
        <v>44805</v>
      </c>
    </row>
    <row r="101" spans="1:2" x14ac:dyDescent="0.2">
      <c r="A101">
        <v>12</v>
      </c>
      <c r="B101" s="1">
        <f>DATE(sales__2[[#This Row],[year]],sales__2[[#This Row],[month]],1)</f>
        <v>44805</v>
      </c>
    </row>
    <row r="102" spans="1:2" x14ac:dyDescent="0.2">
      <c r="A102">
        <v>11</v>
      </c>
      <c r="B102" s="1">
        <f>DATE(sales__2[[#This Row],[year]],sales__2[[#This Row],[month]],1)</f>
        <v>44805</v>
      </c>
    </row>
    <row r="103" spans="1:2" x14ac:dyDescent="0.2">
      <c r="A103">
        <v>20</v>
      </c>
      <c r="B103" s="1">
        <f>DATE(sales__2[[#This Row],[year]],sales__2[[#This Row],[month]],1)</f>
        <v>44805</v>
      </c>
    </row>
    <row r="104" spans="1:2" x14ac:dyDescent="0.2">
      <c r="A104">
        <v>21</v>
      </c>
      <c r="B104" s="1">
        <f>DATE(sales__2[[#This Row],[year]],sales__2[[#This Row],[month]],1)</f>
        <v>44805</v>
      </c>
    </row>
    <row r="105" spans="1:2" x14ac:dyDescent="0.2">
      <c r="A105">
        <v>25</v>
      </c>
      <c r="B105" s="1">
        <f>DATE(sales__2[[#This Row],[year]],sales__2[[#This Row],[month]],1)</f>
        <v>44805</v>
      </c>
    </row>
    <row r="106" spans="1:2" x14ac:dyDescent="0.2">
      <c r="A106">
        <v>22</v>
      </c>
      <c r="B106" s="1">
        <f>DATE(sales__2[[#This Row],[year]],sales__2[[#This Row],[month]],1)</f>
        <v>44805</v>
      </c>
    </row>
    <row r="107" spans="1:2" x14ac:dyDescent="0.2">
      <c r="A107">
        <v>14</v>
      </c>
      <c r="B107" s="1">
        <f>DATE(sales__2[[#This Row],[year]],sales__2[[#This Row],[month]],1)</f>
        <v>44805</v>
      </c>
    </row>
    <row r="108" spans="1:2" x14ac:dyDescent="0.2">
      <c r="A108">
        <v>9</v>
      </c>
      <c r="B108" s="1">
        <f>DATE(sales__2[[#This Row],[year]],sales__2[[#This Row],[month]],1)</f>
        <v>44805</v>
      </c>
    </row>
    <row r="109" spans="1:2" x14ac:dyDescent="0.2">
      <c r="A109">
        <v>19</v>
      </c>
      <c r="B109" s="1">
        <f>DATE(sales__2[[#This Row],[year]],sales__2[[#This Row],[month]],1)</f>
        <v>44805</v>
      </c>
    </row>
    <row r="110" spans="1:2" x14ac:dyDescent="0.2">
      <c r="A110">
        <v>21</v>
      </c>
      <c r="B110" s="1">
        <f>DATE(sales__2[[#This Row],[year]],sales__2[[#This Row],[month]],1)</f>
        <v>44805</v>
      </c>
    </row>
    <row r="111" spans="1:2" x14ac:dyDescent="0.2">
      <c r="A111">
        <v>11</v>
      </c>
      <c r="B111" s="1">
        <f>DATE(sales__2[[#This Row],[year]],sales__2[[#This Row],[month]],1)</f>
        <v>44805</v>
      </c>
    </row>
    <row r="112" spans="1:2" x14ac:dyDescent="0.2">
      <c r="A112">
        <v>13</v>
      </c>
      <c r="B112" s="1">
        <f>DATE(sales__2[[#This Row],[year]],sales__2[[#This Row],[month]],1)</f>
        <v>44835</v>
      </c>
    </row>
    <row r="113" spans="1:2" x14ac:dyDescent="0.2">
      <c r="A113">
        <v>10</v>
      </c>
      <c r="B113" s="1">
        <f>DATE(sales__2[[#This Row],[year]],sales__2[[#This Row],[month]],1)</f>
        <v>44835</v>
      </c>
    </row>
    <row r="114" spans="1:2" x14ac:dyDescent="0.2">
      <c r="A114">
        <v>10</v>
      </c>
      <c r="B114" s="1">
        <f>DATE(sales__2[[#This Row],[year]],sales__2[[#This Row],[month]],1)</f>
        <v>44835</v>
      </c>
    </row>
    <row r="115" spans="1:2" x14ac:dyDescent="0.2">
      <c r="A115">
        <v>18</v>
      </c>
      <c r="B115" s="1">
        <f>DATE(sales__2[[#This Row],[year]],sales__2[[#This Row],[month]],1)</f>
        <v>44835</v>
      </c>
    </row>
    <row r="116" spans="1:2" x14ac:dyDescent="0.2">
      <c r="A116">
        <v>5</v>
      </c>
      <c r="B116" s="1">
        <f>DATE(sales__2[[#This Row],[year]],sales__2[[#This Row],[month]],1)</f>
        <v>44835</v>
      </c>
    </row>
    <row r="117" spans="1:2" x14ac:dyDescent="0.2">
      <c r="A117">
        <v>22</v>
      </c>
      <c r="B117" s="1">
        <f>DATE(sales__2[[#This Row],[year]],sales__2[[#This Row],[month]],1)</f>
        <v>44835</v>
      </c>
    </row>
    <row r="118" spans="1:2" x14ac:dyDescent="0.2">
      <c r="A118">
        <v>20</v>
      </c>
      <c r="B118" s="1">
        <f>DATE(sales__2[[#This Row],[year]],sales__2[[#This Row],[month]],1)</f>
        <v>44835</v>
      </c>
    </row>
    <row r="119" spans="1:2" x14ac:dyDescent="0.2">
      <c r="A119">
        <v>12</v>
      </c>
      <c r="B119" s="1">
        <f>DATE(sales__2[[#This Row],[year]],sales__2[[#This Row],[month]],1)</f>
        <v>44835</v>
      </c>
    </row>
    <row r="120" spans="1:2" x14ac:dyDescent="0.2">
      <c r="A120">
        <v>7</v>
      </c>
      <c r="B120" s="1">
        <f>DATE(sales__2[[#This Row],[year]],sales__2[[#This Row],[month]],1)</f>
        <v>44835</v>
      </c>
    </row>
    <row r="121" spans="1:2" x14ac:dyDescent="0.2">
      <c r="A121">
        <v>15</v>
      </c>
      <c r="B121" s="1">
        <f>DATE(sales__2[[#This Row],[year]],sales__2[[#This Row],[month]],1)</f>
        <v>44835</v>
      </c>
    </row>
    <row r="122" spans="1:2" x14ac:dyDescent="0.2">
      <c r="A122">
        <v>4</v>
      </c>
      <c r="B122" s="1">
        <f>DATE(sales__2[[#This Row],[year]],sales__2[[#This Row],[month]],1)</f>
        <v>44835</v>
      </c>
    </row>
    <row r="123" spans="1:2" x14ac:dyDescent="0.2">
      <c r="A123">
        <v>19</v>
      </c>
      <c r="B123" s="1">
        <f>DATE(sales__2[[#This Row],[year]],sales__2[[#This Row],[month]],1)</f>
        <v>44835</v>
      </c>
    </row>
    <row r="124" spans="1:2" x14ac:dyDescent="0.2">
      <c r="A124">
        <v>10</v>
      </c>
      <c r="B124" s="1">
        <f>DATE(sales__2[[#This Row],[year]],sales__2[[#This Row],[month]],1)</f>
        <v>44835</v>
      </c>
    </row>
    <row r="125" spans="1:2" x14ac:dyDescent="0.2">
      <c r="A125">
        <v>12</v>
      </c>
      <c r="B125" s="1">
        <f>DATE(sales__2[[#This Row],[year]],sales__2[[#This Row],[month]],1)</f>
        <v>44866</v>
      </c>
    </row>
    <row r="126" spans="1:2" x14ac:dyDescent="0.2">
      <c r="A126">
        <v>9</v>
      </c>
      <c r="B126" s="1">
        <f>DATE(sales__2[[#This Row],[year]],sales__2[[#This Row],[month]],1)</f>
        <v>44866</v>
      </c>
    </row>
    <row r="127" spans="1:2" x14ac:dyDescent="0.2">
      <c r="A127">
        <v>9</v>
      </c>
      <c r="B127" s="1">
        <f>DATE(sales__2[[#This Row],[year]],sales__2[[#This Row],[month]],1)</f>
        <v>44866</v>
      </c>
    </row>
    <row r="128" spans="1:2" x14ac:dyDescent="0.2">
      <c r="A128">
        <v>15</v>
      </c>
      <c r="B128" s="1">
        <f>DATE(sales__2[[#This Row],[year]],sales__2[[#This Row],[month]],1)</f>
        <v>44866</v>
      </c>
    </row>
    <row r="129" spans="1:2" x14ac:dyDescent="0.2">
      <c r="A129">
        <v>20</v>
      </c>
      <c r="B129" s="1">
        <f>DATE(sales__2[[#This Row],[year]],sales__2[[#This Row],[month]],1)</f>
        <v>44866</v>
      </c>
    </row>
    <row r="130" spans="1:2" x14ac:dyDescent="0.2">
      <c r="A130">
        <v>22</v>
      </c>
      <c r="B130" s="1">
        <f>DATE(sales__2[[#This Row],[year]],sales__2[[#This Row],[month]],1)</f>
        <v>44866</v>
      </c>
    </row>
    <row r="131" spans="1:2" x14ac:dyDescent="0.2">
      <c r="A131">
        <v>19</v>
      </c>
      <c r="B131" s="1">
        <f>DATE(sales__2[[#This Row],[year]],sales__2[[#This Row],[month]],1)</f>
        <v>44866</v>
      </c>
    </row>
    <row r="132" spans="1:2" x14ac:dyDescent="0.2">
      <c r="A132">
        <v>12</v>
      </c>
      <c r="B132" s="1">
        <f>DATE(sales__2[[#This Row],[year]],sales__2[[#This Row],[month]],1)</f>
        <v>44866</v>
      </c>
    </row>
    <row r="133" spans="1:2" x14ac:dyDescent="0.2">
      <c r="A133">
        <v>15</v>
      </c>
      <c r="B133" s="1">
        <f>DATE(sales__2[[#This Row],[year]],sales__2[[#This Row],[month]],1)</f>
        <v>44866</v>
      </c>
    </row>
    <row r="134" spans="1:2" x14ac:dyDescent="0.2">
      <c r="A134">
        <v>17</v>
      </c>
      <c r="B134" s="1">
        <f>DATE(sales__2[[#This Row],[year]],sales__2[[#This Row],[month]],1)</f>
        <v>44866</v>
      </c>
    </row>
    <row r="135" spans="1:2" x14ac:dyDescent="0.2">
      <c r="A135">
        <v>9</v>
      </c>
      <c r="B135" s="1">
        <f>DATE(sales__2[[#This Row],[year]],sales__2[[#This Row],[month]],1)</f>
        <v>44866</v>
      </c>
    </row>
    <row r="136" spans="1:2" x14ac:dyDescent="0.2">
      <c r="A136">
        <v>14</v>
      </c>
      <c r="B136" s="1">
        <f>DATE(sales__2[[#This Row],[year]],sales__2[[#This Row],[month]],1)</f>
        <v>44896</v>
      </c>
    </row>
    <row r="137" spans="1:2" x14ac:dyDescent="0.2">
      <c r="A137">
        <v>11</v>
      </c>
      <c r="B137" s="1">
        <f>DATE(sales__2[[#This Row],[year]],sales__2[[#This Row],[month]],1)</f>
        <v>44896</v>
      </c>
    </row>
    <row r="138" spans="1:2" x14ac:dyDescent="0.2">
      <c r="A138">
        <v>11</v>
      </c>
      <c r="B138" s="1">
        <f>DATE(sales__2[[#This Row],[year]],sales__2[[#This Row],[month]],1)</f>
        <v>44896</v>
      </c>
    </row>
    <row r="139" spans="1:2" x14ac:dyDescent="0.2">
      <c r="A139">
        <v>18</v>
      </c>
      <c r="B139" s="1">
        <f>DATE(sales__2[[#This Row],[year]],sales__2[[#This Row],[month]],1)</f>
        <v>44896</v>
      </c>
    </row>
    <row r="140" spans="1:2" x14ac:dyDescent="0.2">
      <c r="A140">
        <v>6</v>
      </c>
      <c r="B140" s="1">
        <f>DATE(sales__2[[#This Row],[year]],sales__2[[#This Row],[month]],1)</f>
        <v>44896</v>
      </c>
    </row>
    <row r="141" spans="1:2" x14ac:dyDescent="0.2">
      <c r="A141">
        <v>24</v>
      </c>
      <c r="B141" s="1">
        <f>DATE(sales__2[[#This Row],[year]],sales__2[[#This Row],[month]],1)</f>
        <v>44896</v>
      </c>
    </row>
    <row r="142" spans="1:2" x14ac:dyDescent="0.2">
      <c r="A142">
        <v>22</v>
      </c>
      <c r="B142" s="1">
        <f>DATE(sales__2[[#This Row],[year]],sales__2[[#This Row],[month]],1)</f>
        <v>44896</v>
      </c>
    </row>
    <row r="143" spans="1:2" x14ac:dyDescent="0.2">
      <c r="A143">
        <v>15</v>
      </c>
      <c r="B143" s="1">
        <f>DATE(sales__2[[#This Row],[year]],sales__2[[#This Row],[month]],1)</f>
        <v>44896</v>
      </c>
    </row>
    <row r="144" spans="1:2" x14ac:dyDescent="0.2">
      <c r="A144">
        <v>10</v>
      </c>
      <c r="B144" s="1">
        <f>DATE(sales__2[[#This Row],[year]],sales__2[[#This Row],[month]],1)</f>
        <v>44896</v>
      </c>
    </row>
    <row r="145" spans="1:2" x14ac:dyDescent="0.2">
      <c r="A145">
        <v>18</v>
      </c>
      <c r="B145" s="1">
        <f>DATE(sales__2[[#This Row],[year]],sales__2[[#This Row],[month]],1)</f>
        <v>44896</v>
      </c>
    </row>
    <row r="146" spans="1:2" x14ac:dyDescent="0.2">
      <c r="A146">
        <v>5</v>
      </c>
      <c r="B146" s="1">
        <f>DATE(sales__2[[#This Row],[year]],sales__2[[#This Row],[month]],1)</f>
        <v>44896</v>
      </c>
    </row>
    <row r="147" spans="1:2" x14ac:dyDescent="0.2">
      <c r="A147">
        <v>21</v>
      </c>
      <c r="B147" s="1">
        <f>DATE(sales__2[[#This Row],[year]],sales__2[[#This Row],[month]],1)</f>
        <v>44896</v>
      </c>
    </row>
    <row r="148" spans="1:2" x14ac:dyDescent="0.2">
      <c r="A148">
        <v>12</v>
      </c>
      <c r="B148" s="1">
        <f>DATE(sales__2[[#This Row],[year]],sales__2[[#This Row],[month]],1)</f>
        <v>44896</v>
      </c>
    </row>
    <row r="149" spans="1:2" x14ac:dyDescent="0.2">
      <c r="A149">
        <v>12</v>
      </c>
      <c r="B149" s="1">
        <f>DATE(sales__2[[#This Row],[year]],sales__2[[#This Row],[month]],1)</f>
        <v>44927</v>
      </c>
    </row>
    <row r="150" spans="1:2" x14ac:dyDescent="0.2">
      <c r="A150">
        <v>8</v>
      </c>
      <c r="B150" s="1">
        <f>DATE(sales__2[[#This Row],[year]],sales__2[[#This Row],[month]],1)</f>
        <v>44927</v>
      </c>
    </row>
    <row r="151" spans="1:2" x14ac:dyDescent="0.2">
      <c r="A151">
        <v>10</v>
      </c>
      <c r="B151" s="1">
        <f>DATE(sales__2[[#This Row],[year]],sales__2[[#This Row],[month]],1)</f>
        <v>44927</v>
      </c>
    </row>
    <row r="152" spans="1:2" x14ac:dyDescent="0.2">
      <c r="A152">
        <v>6</v>
      </c>
      <c r="B152" s="1">
        <f>DATE(sales__2[[#This Row],[year]],sales__2[[#This Row],[month]],1)</f>
        <v>44927</v>
      </c>
    </row>
    <row r="153" spans="1:2" x14ac:dyDescent="0.2">
      <c r="A153">
        <v>9</v>
      </c>
      <c r="B153" s="1">
        <f>DATE(sales__2[[#This Row],[year]],sales__2[[#This Row],[month]],1)</f>
        <v>44927</v>
      </c>
    </row>
    <row r="154" spans="1:2" x14ac:dyDescent="0.2">
      <c r="A154">
        <v>9</v>
      </c>
      <c r="B154" s="1">
        <f>DATE(sales__2[[#This Row],[year]],sales__2[[#This Row],[month]],1)</f>
        <v>44927</v>
      </c>
    </row>
    <row r="155" spans="1:2" x14ac:dyDescent="0.2">
      <c r="A155">
        <v>6</v>
      </c>
      <c r="B155" s="1">
        <f>DATE(sales__2[[#This Row],[year]],sales__2[[#This Row],[month]],1)</f>
        <v>44927</v>
      </c>
    </row>
    <row r="156" spans="1:2" x14ac:dyDescent="0.2">
      <c r="A156">
        <v>15</v>
      </c>
      <c r="B156" s="1">
        <f>DATE(sales__2[[#This Row],[year]],sales__2[[#This Row],[month]],1)</f>
        <v>44927</v>
      </c>
    </row>
    <row r="157" spans="1:2" x14ac:dyDescent="0.2">
      <c r="A157">
        <v>18</v>
      </c>
      <c r="B157" s="1">
        <f>DATE(sales__2[[#This Row],[year]],sales__2[[#This Row],[month]],1)</f>
        <v>44927</v>
      </c>
    </row>
    <row r="158" spans="1:2" x14ac:dyDescent="0.2">
      <c r="A158">
        <v>4</v>
      </c>
      <c r="B158" s="1">
        <f>DATE(sales__2[[#This Row],[year]],sales__2[[#This Row],[month]],1)</f>
        <v>44927</v>
      </c>
    </row>
    <row r="159" spans="1:2" x14ac:dyDescent="0.2">
      <c r="A159">
        <v>20</v>
      </c>
      <c r="B159" s="1">
        <f>DATE(sales__2[[#This Row],[year]],sales__2[[#This Row],[month]],1)</f>
        <v>44927</v>
      </c>
    </row>
    <row r="160" spans="1:2" x14ac:dyDescent="0.2">
      <c r="A160">
        <v>23</v>
      </c>
      <c r="B160" s="1">
        <f>DATE(sales__2[[#This Row],[year]],sales__2[[#This Row],[month]],1)</f>
        <v>44927</v>
      </c>
    </row>
    <row r="161" spans="1:2" x14ac:dyDescent="0.2">
      <c r="A161">
        <v>11</v>
      </c>
      <c r="B161" s="1">
        <f>DATE(sales__2[[#This Row],[year]],sales__2[[#This Row],[month]],1)</f>
        <v>44927</v>
      </c>
    </row>
    <row r="162" spans="1:2" x14ac:dyDescent="0.2">
      <c r="A162">
        <v>7</v>
      </c>
      <c r="B162" s="1">
        <f>DATE(sales__2[[#This Row],[year]],sales__2[[#This Row],[month]],1)</f>
        <v>44927</v>
      </c>
    </row>
    <row r="163" spans="1:2" x14ac:dyDescent="0.2">
      <c r="A163">
        <v>14</v>
      </c>
      <c r="B163" s="1">
        <f>DATE(sales__2[[#This Row],[year]],sales__2[[#This Row],[month]],1)</f>
        <v>44927</v>
      </c>
    </row>
    <row r="164" spans="1:2" x14ac:dyDescent="0.2">
      <c r="A164">
        <v>3</v>
      </c>
      <c r="B164" s="1">
        <f>DATE(sales__2[[#This Row],[year]],sales__2[[#This Row],[month]],1)</f>
        <v>44927</v>
      </c>
    </row>
    <row r="165" spans="1:2" x14ac:dyDescent="0.2">
      <c r="A165">
        <v>16</v>
      </c>
      <c r="B165" s="1">
        <f>DATE(sales__2[[#This Row],[year]],sales__2[[#This Row],[month]],1)</f>
        <v>44927</v>
      </c>
    </row>
    <row r="166" spans="1:2" x14ac:dyDescent="0.2">
      <c r="A166">
        <v>8</v>
      </c>
      <c r="B166" s="1">
        <f>DATE(sales__2[[#This Row],[year]],sales__2[[#This Row],[month]],1)</f>
        <v>44927</v>
      </c>
    </row>
    <row r="167" spans="1:2" x14ac:dyDescent="0.2">
      <c r="A167">
        <v>10</v>
      </c>
      <c r="B167" s="1">
        <f>DATE(sales__2[[#This Row],[year]],sales__2[[#This Row],[month]],1)</f>
        <v>44958</v>
      </c>
    </row>
    <row r="168" spans="1:2" x14ac:dyDescent="0.2">
      <c r="A168">
        <v>8</v>
      </c>
      <c r="B168" s="1">
        <f>DATE(sales__2[[#This Row],[year]],sales__2[[#This Row],[month]],1)</f>
        <v>44958</v>
      </c>
    </row>
    <row r="169" spans="1:2" x14ac:dyDescent="0.2">
      <c r="A169">
        <v>8</v>
      </c>
      <c r="B169" s="1">
        <f>DATE(sales__2[[#This Row],[year]],sales__2[[#This Row],[month]],1)</f>
        <v>44958</v>
      </c>
    </row>
    <row r="170" spans="1:2" x14ac:dyDescent="0.2">
      <c r="A170">
        <v>10</v>
      </c>
      <c r="B170" s="1">
        <f>DATE(sales__2[[#This Row],[year]],sales__2[[#This Row],[month]],1)</f>
        <v>44958</v>
      </c>
    </row>
    <row r="171" spans="1:2" x14ac:dyDescent="0.2">
      <c r="A171">
        <v>18</v>
      </c>
      <c r="B171" s="1">
        <f>DATE(sales__2[[#This Row],[year]],sales__2[[#This Row],[month]],1)</f>
        <v>44958</v>
      </c>
    </row>
    <row r="172" spans="1:2" x14ac:dyDescent="0.2">
      <c r="A172">
        <v>9</v>
      </c>
      <c r="B172" s="1">
        <f>DATE(sales__2[[#This Row],[year]],sales__2[[#This Row],[month]],1)</f>
        <v>44958</v>
      </c>
    </row>
    <row r="173" spans="1:2" x14ac:dyDescent="0.2">
      <c r="A173">
        <v>7</v>
      </c>
      <c r="B173" s="1">
        <f>DATE(sales__2[[#This Row],[year]],sales__2[[#This Row],[month]],1)</f>
        <v>44958</v>
      </c>
    </row>
    <row r="174" spans="1:2" x14ac:dyDescent="0.2">
      <c r="A174">
        <v>11</v>
      </c>
      <c r="B174" s="1">
        <f>DATE(sales__2[[#This Row],[year]],sales__2[[#This Row],[month]],1)</f>
        <v>44958</v>
      </c>
    </row>
    <row r="175" spans="1:2" x14ac:dyDescent="0.2">
      <c r="A175">
        <v>14</v>
      </c>
      <c r="B175" s="1">
        <f>DATE(sales__2[[#This Row],[year]],sales__2[[#This Row],[month]],1)</f>
        <v>44958</v>
      </c>
    </row>
    <row r="176" spans="1:2" x14ac:dyDescent="0.2">
      <c r="A176">
        <v>6</v>
      </c>
      <c r="B176" s="1">
        <f>DATE(sales__2[[#This Row],[year]],sales__2[[#This Row],[month]],1)</f>
        <v>44958</v>
      </c>
    </row>
    <row r="177" spans="1:2" x14ac:dyDescent="0.2">
      <c r="A177">
        <v>14</v>
      </c>
      <c r="B177" s="1">
        <f>DATE(sales__2[[#This Row],[year]],sales__2[[#This Row],[month]],1)</f>
        <v>44986</v>
      </c>
    </row>
    <row r="178" spans="1:2" x14ac:dyDescent="0.2">
      <c r="A178">
        <v>10</v>
      </c>
      <c r="B178" s="1">
        <f>DATE(sales__2[[#This Row],[year]],sales__2[[#This Row],[month]],1)</f>
        <v>44986</v>
      </c>
    </row>
    <row r="179" spans="1:2" x14ac:dyDescent="0.2">
      <c r="A179">
        <v>8</v>
      </c>
      <c r="B179" s="1">
        <f>DATE(sales__2[[#This Row],[year]],sales__2[[#This Row],[month]],1)</f>
        <v>44986</v>
      </c>
    </row>
    <row r="180" spans="1:2" x14ac:dyDescent="0.2">
      <c r="A180">
        <v>16</v>
      </c>
      <c r="B180" s="1">
        <f>DATE(sales__2[[#This Row],[year]],sales__2[[#This Row],[month]],1)</f>
        <v>44986</v>
      </c>
    </row>
    <row r="181" spans="1:2" x14ac:dyDescent="0.2">
      <c r="A181">
        <v>21</v>
      </c>
      <c r="B181" s="1">
        <f>DATE(sales__2[[#This Row],[year]],sales__2[[#This Row],[month]],1)</f>
        <v>44986</v>
      </c>
    </row>
    <row r="182" spans="1:2" x14ac:dyDescent="0.2">
      <c r="A182">
        <v>22</v>
      </c>
      <c r="B182" s="1">
        <f>DATE(sales__2[[#This Row],[year]],sales__2[[#This Row],[month]],1)</f>
        <v>44986</v>
      </c>
    </row>
    <row r="183" spans="1:2" x14ac:dyDescent="0.2">
      <c r="A183">
        <v>18</v>
      </c>
      <c r="B183" s="1">
        <f>DATE(sales__2[[#This Row],[year]],sales__2[[#This Row],[month]],1)</f>
        <v>44986</v>
      </c>
    </row>
    <row r="184" spans="1:2" x14ac:dyDescent="0.2">
      <c r="A184">
        <v>12</v>
      </c>
      <c r="B184" s="1">
        <f>DATE(sales__2[[#This Row],[year]],sales__2[[#This Row],[month]],1)</f>
        <v>44986</v>
      </c>
    </row>
    <row r="185" spans="1:2" x14ac:dyDescent="0.2">
      <c r="A185">
        <v>15</v>
      </c>
      <c r="B185" s="1">
        <f>DATE(sales__2[[#This Row],[year]],sales__2[[#This Row],[month]],1)</f>
        <v>44986</v>
      </c>
    </row>
    <row r="186" spans="1:2" x14ac:dyDescent="0.2">
      <c r="A186">
        <v>18</v>
      </c>
      <c r="B186" s="1">
        <f>DATE(sales__2[[#This Row],[year]],sales__2[[#This Row],[month]],1)</f>
        <v>44986</v>
      </c>
    </row>
    <row r="187" spans="1:2" x14ac:dyDescent="0.2">
      <c r="A187">
        <v>10</v>
      </c>
      <c r="B187" s="1">
        <f>DATE(sales__2[[#This Row],[year]],sales__2[[#This Row],[month]],1)</f>
        <v>44986</v>
      </c>
    </row>
    <row r="188" spans="1:2" x14ac:dyDescent="0.2">
      <c r="A188">
        <v>16</v>
      </c>
      <c r="B188" s="1">
        <f>DATE(sales__2[[#This Row],[year]],sales__2[[#This Row],[month]],1)</f>
        <v>45017</v>
      </c>
    </row>
    <row r="189" spans="1:2" x14ac:dyDescent="0.2">
      <c r="A189">
        <v>12</v>
      </c>
      <c r="B189" s="1">
        <f>DATE(sales__2[[#This Row],[year]],sales__2[[#This Row],[month]],1)</f>
        <v>45017</v>
      </c>
    </row>
    <row r="190" spans="1:2" x14ac:dyDescent="0.2">
      <c r="A190">
        <v>10</v>
      </c>
      <c r="B190" s="1">
        <f>DATE(sales__2[[#This Row],[year]],sales__2[[#This Row],[month]],1)</f>
        <v>45017</v>
      </c>
    </row>
    <row r="191" spans="1:2" x14ac:dyDescent="0.2">
      <c r="A191">
        <v>18</v>
      </c>
      <c r="B191" s="1">
        <f>DATE(sales__2[[#This Row],[year]],sales__2[[#This Row],[month]],1)</f>
        <v>45017</v>
      </c>
    </row>
    <row r="192" spans="1:2" x14ac:dyDescent="0.2">
      <c r="A192">
        <v>5</v>
      </c>
      <c r="B192" s="1">
        <f>DATE(sales__2[[#This Row],[year]],sales__2[[#This Row],[month]],1)</f>
        <v>45017</v>
      </c>
    </row>
    <row r="193" spans="1:2" x14ac:dyDescent="0.2">
      <c r="A193">
        <v>25</v>
      </c>
      <c r="B193" s="1">
        <f>DATE(sales__2[[#This Row],[year]],sales__2[[#This Row],[month]],1)</f>
        <v>45017</v>
      </c>
    </row>
    <row r="194" spans="1:2" x14ac:dyDescent="0.2">
      <c r="A194">
        <v>22</v>
      </c>
      <c r="B194" s="1">
        <f>DATE(sales__2[[#This Row],[year]],sales__2[[#This Row],[month]],1)</f>
        <v>45017</v>
      </c>
    </row>
    <row r="195" spans="1:2" x14ac:dyDescent="0.2">
      <c r="A195">
        <v>14</v>
      </c>
      <c r="B195" s="1">
        <f>DATE(sales__2[[#This Row],[year]],sales__2[[#This Row],[month]],1)</f>
        <v>45017</v>
      </c>
    </row>
    <row r="196" spans="1:2" x14ac:dyDescent="0.2">
      <c r="A196">
        <v>8</v>
      </c>
      <c r="B196" s="1">
        <f>DATE(sales__2[[#This Row],[year]],sales__2[[#This Row],[month]],1)</f>
        <v>45017</v>
      </c>
    </row>
    <row r="197" spans="1:2" x14ac:dyDescent="0.2">
      <c r="A197">
        <v>16</v>
      </c>
      <c r="B197" s="1">
        <f>DATE(sales__2[[#This Row],[year]],sales__2[[#This Row],[month]],1)</f>
        <v>45017</v>
      </c>
    </row>
    <row r="198" spans="1:2" x14ac:dyDescent="0.2">
      <c r="A198">
        <v>4</v>
      </c>
      <c r="B198" s="1">
        <f>DATE(sales__2[[#This Row],[year]],sales__2[[#This Row],[month]],1)</f>
        <v>45017</v>
      </c>
    </row>
    <row r="199" spans="1:2" x14ac:dyDescent="0.2">
      <c r="A199">
        <v>18</v>
      </c>
      <c r="B199" s="1">
        <f>DATE(sales__2[[#This Row],[year]],sales__2[[#This Row],[month]],1)</f>
        <v>45017</v>
      </c>
    </row>
    <row r="200" spans="1:2" x14ac:dyDescent="0.2">
      <c r="A200">
        <v>10</v>
      </c>
      <c r="B200" s="1">
        <f>DATE(sales__2[[#This Row],[year]],sales__2[[#This Row],[month]],1)</f>
        <v>45017</v>
      </c>
    </row>
    <row r="201" spans="1:2" x14ac:dyDescent="0.2">
      <c r="A201">
        <v>18</v>
      </c>
      <c r="B201" s="1">
        <f>DATE(sales__2[[#This Row],[year]],sales__2[[#This Row],[month]],1)</f>
        <v>45047</v>
      </c>
    </row>
    <row r="202" spans="1:2" x14ac:dyDescent="0.2">
      <c r="A202">
        <v>14</v>
      </c>
      <c r="B202" s="1">
        <f>DATE(sales__2[[#This Row],[year]],sales__2[[#This Row],[month]],1)</f>
        <v>45047</v>
      </c>
    </row>
    <row r="203" spans="1:2" x14ac:dyDescent="0.2">
      <c r="A203">
        <v>11</v>
      </c>
      <c r="B203" s="1">
        <f>DATE(sales__2[[#This Row],[year]],sales__2[[#This Row],[month]],1)</f>
        <v>45047</v>
      </c>
    </row>
    <row r="204" spans="1:2" x14ac:dyDescent="0.2">
      <c r="A204">
        <v>20</v>
      </c>
      <c r="B204" s="1">
        <f>DATE(sales__2[[#This Row],[year]],sales__2[[#This Row],[month]],1)</f>
        <v>45047</v>
      </c>
    </row>
    <row r="205" spans="1:2" x14ac:dyDescent="0.2">
      <c r="A205">
        <v>13</v>
      </c>
      <c r="B205" s="1">
        <f>DATE(sales__2[[#This Row],[year]],sales__2[[#This Row],[month]],1)</f>
        <v>45047</v>
      </c>
    </row>
    <row r="206" spans="1:2" x14ac:dyDescent="0.2">
      <c r="A206">
        <v>27</v>
      </c>
      <c r="B206" s="1">
        <f>DATE(sales__2[[#This Row],[year]],sales__2[[#This Row],[month]],1)</f>
        <v>45047</v>
      </c>
    </row>
    <row r="207" spans="1:2" x14ac:dyDescent="0.2">
      <c r="A207">
        <v>20</v>
      </c>
      <c r="B207" s="1">
        <f>DATE(sales__2[[#This Row],[year]],sales__2[[#This Row],[month]],1)</f>
        <v>45047</v>
      </c>
    </row>
    <row r="208" spans="1:2" x14ac:dyDescent="0.2">
      <c r="A208">
        <v>15</v>
      </c>
      <c r="B208" s="1">
        <f>DATE(sales__2[[#This Row],[year]],sales__2[[#This Row],[month]],1)</f>
        <v>45047</v>
      </c>
    </row>
    <row r="209" spans="1:2" x14ac:dyDescent="0.2">
      <c r="A209">
        <v>20</v>
      </c>
      <c r="B209" s="1">
        <f>DATE(sales__2[[#This Row],[year]],sales__2[[#This Row],[month]],1)</f>
        <v>45047</v>
      </c>
    </row>
    <row r="210" spans="1:2" x14ac:dyDescent="0.2">
      <c r="A210">
        <v>20</v>
      </c>
      <c r="B210" s="1">
        <f>DATE(sales__2[[#This Row],[year]],sales__2[[#This Row],[month]],1)</f>
        <v>45047</v>
      </c>
    </row>
    <row r="211" spans="1:2" x14ac:dyDescent="0.2">
      <c r="A211">
        <v>9</v>
      </c>
      <c r="B211" s="1">
        <f>DATE(sales__2[[#This Row],[year]],sales__2[[#This Row],[month]],1)</f>
        <v>45047</v>
      </c>
    </row>
    <row r="212" spans="1:2" x14ac:dyDescent="0.2">
      <c r="A212">
        <v>18</v>
      </c>
      <c r="B212" s="1">
        <f>DATE(sales__2[[#This Row],[year]],sales__2[[#This Row],[month]],1)</f>
        <v>45078</v>
      </c>
    </row>
    <row r="213" spans="1:2" x14ac:dyDescent="0.2">
      <c r="A213">
        <v>15</v>
      </c>
      <c r="B213" s="1">
        <f>DATE(sales__2[[#This Row],[year]],sales__2[[#This Row],[month]],1)</f>
        <v>45078</v>
      </c>
    </row>
    <row r="214" spans="1:2" x14ac:dyDescent="0.2">
      <c r="A214">
        <v>12</v>
      </c>
      <c r="B214" s="1">
        <f>DATE(sales__2[[#This Row],[year]],sales__2[[#This Row],[month]],1)</f>
        <v>45078</v>
      </c>
    </row>
    <row r="215" spans="1:2" x14ac:dyDescent="0.2">
      <c r="A215">
        <v>22</v>
      </c>
      <c r="B215" s="1">
        <f>DATE(sales__2[[#This Row],[year]],sales__2[[#This Row],[month]],1)</f>
        <v>45078</v>
      </c>
    </row>
    <row r="216" spans="1:2" x14ac:dyDescent="0.2">
      <c r="A216">
        <v>25</v>
      </c>
      <c r="B216" s="1">
        <f>DATE(sales__2[[#This Row],[year]],sales__2[[#This Row],[month]],1)</f>
        <v>45078</v>
      </c>
    </row>
    <row r="217" spans="1:2" x14ac:dyDescent="0.2">
      <c r="A217">
        <v>29</v>
      </c>
      <c r="B217" s="1">
        <f>DATE(sales__2[[#This Row],[year]],sales__2[[#This Row],[month]],1)</f>
        <v>45078</v>
      </c>
    </row>
    <row r="218" spans="1:2" x14ac:dyDescent="0.2">
      <c r="A218">
        <v>25</v>
      </c>
      <c r="B218" s="1">
        <f>DATE(sales__2[[#This Row],[year]],sales__2[[#This Row],[month]],1)</f>
        <v>45078</v>
      </c>
    </row>
    <row r="219" spans="1:2" x14ac:dyDescent="0.2">
      <c r="A219">
        <v>22</v>
      </c>
      <c r="B219" s="1">
        <f>DATE(sales__2[[#This Row],[year]],sales__2[[#This Row],[month]],1)</f>
        <v>45078</v>
      </c>
    </row>
    <row r="220" spans="1:2" x14ac:dyDescent="0.2">
      <c r="A220">
        <v>17</v>
      </c>
      <c r="B220" s="1">
        <f>DATE(sales__2[[#This Row],[year]],sales__2[[#This Row],[month]],1)</f>
        <v>45078</v>
      </c>
    </row>
    <row r="221" spans="1:2" x14ac:dyDescent="0.2">
      <c r="A221">
        <v>9</v>
      </c>
      <c r="B221" s="1">
        <f>DATE(sales__2[[#This Row],[year]],sales__2[[#This Row],[month]],1)</f>
        <v>45078</v>
      </c>
    </row>
    <row r="222" spans="1:2" x14ac:dyDescent="0.2">
      <c r="A222">
        <v>19</v>
      </c>
      <c r="B222" s="1">
        <f>DATE(sales__2[[#This Row],[year]],sales__2[[#This Row],[month]],1)</f>
        <v>45078</v>
      </c>
    </row>
    <row r="223" spans="1:2" x14ac:dyDescent="0.2">
      <c r="A223" t="s">
        <v>71</v>
      </c>
      <c r="B223" s="1">
        <f>DATE(sales__2[[#This Row],[year]],sales__2[[#This Row],[month]],1)</f>
        <v>45078</v>
      </c>
    </row>
    <row r="224" spans="1:2" x14ac:dyDescent="0.2">
      <c r="A224">
        <v>12</v>
      </c>
      <c r="B224" s="1">
        <f>DATE(sales__2[[#This Row],[year]],sales__2[[#This Row],[month]],1)</f>
        <v>45078</v>
      </c>
    </row>
    <row r="225" spans="1:2" x14ac:dyDescent="0.2">
      <c r="A225">
        <v>20</v>
      </c>
      <c r="B225" s="1">
        <f>DATE(sales__2[[#This Row],[year]],sales__2[[#This Row],[month]],1)</f>
        <v>45108</v>
      </c>
    </row>
    <row r="226" spans="1:2" x14ac:dyDescent="0.2">
      <c r="A226">
        <v>16</v>
      </c>
      <c r="B226" s="1">
        <f>DATE(sales__2[[#This Row],[year]],sales__2[[#This Row],[month]],1)</f>
        <v>45108</v>
      </c>
    </row>
    <row r="227" spans="1:2" x14ac:dyDescent="0.2">
      <c r="A227">
        <v>16</v>
      </c>
      <c r="B227" s="1">
        <f>DATE(sales__2[[#This Row],[year]],sales__2[[#This Row],[month]],1)</f>
        <v>45108</v>
      </c>
    </row>
    <row r="228" spans="1:2" x14ac:dyDescent="0.2">
      <c r="A228">
        <v>26</v>
      </c>
      <c r="B228" s="1">
        <f>DATE(sales__2[[#This Row],[year]],sales__2[[#This Row],[month]],1)</f>
        <v>45108</v>
      </c>
    </row>
    <row r="229" spans="1:2" x14ac:dyDescent="0.2">
      <c r="A229">
        <v>30</v>
      </c>
      <c r="B229" s="1">
        <f>DATE(sales__2[[#This Row],[year]],sales__2[[#This Row],[month]],1)</f>
        <v>45108</v>
      </c>
    </row>
    <row r="230" spans="1:2" x14ac:dyDescent="0.2">
      <c r="A230">
        <v>30</v>
      </c>
      <c r="B230" s="1">
        <f>DATE(sales__2[[#This Row],[year]],sales__2[[#This Row],[month]],1)</f>
        <v>45108</v>
      </c>
    </row>
    <row r="231" spans="1:2" x14ac:dyDescent="0.2">
      <c r="A231">
        <v>28</v>
      </c>
      <c r="B231" s="1">
        <f>DATE(sales__2[[#This Row],[year]],sales__2[[#This Row],[month]],1)</f>
        <v>45108</v>
      </c>
    </row>
    <row r="232" spans="1:2" x14ac:dyDescent="0.2">
      <c r="A232">
        <v>25</v>
      </c>
      <c r="B232" s="1">
        <f>DATE(sales__2[[#This Row],[year]],sales__2[[#This Row],[month]],1)</f>
        <v>45108</v>
      </c>
    </row>
    <row r="233" spans="1:2" x14ac:dyDescent="0.2">
      <c r="A233">
        <v>19</v>
      </c>
      <c r="B233" s="1">
        <f>DATE(sales__2[[#This Row],[year]],sales__2[[#This Row],[month]],1)</f>
        <v>45108</v>
      </c>
    </row>
    <row r="234" spans="1:2" x14ac:dyDescent="0.2">
      <c r="A234">
        <v>10</v>
      </c>
      <c r="B234" s="1">
        <f>DATE(sales__2[[#This Row],[year]],sales__2[[#This Row],[month]],1)</f>
        <v>45108</v>
      </c>
    </row>
    <row r="235" spans="1:2" x14ac:dyDescent="0.2">
      <c r="A235">
        <v>22</v>
      </c>
      <c r="B235" s="1">
        <f>DATE(sales__2[[#This Row],[year]],sales__2[[#This Row],[month]],1)</f>
        <v>45108</v>
      </c>
    </row>
    <row r="236" spans="1:2" x14ac:dyDescent="0.2">
      <c r="A236">
        <v>26</v>
      </c>
      <c r="B236" s="1">
        <f>DATE(sales__2[[#This Row],[year]],sales__2[[#This Row],[month]],1)</f>
        <v>45108</v>
      </c>
    </row>
    <row r="237" spans="1:2" x14ac:dyDescent="0.2">
      <c r="A237">
        <v>14</v>
      </c>
      <c r="B237" s="1">
        <f>DATE(sales__2[[#This Row],[year]],sales__2[[#This Row],[month]],1)</f>
        <v>45108</v>
      </c>
    </row>
    <row r="238" spans="1:2" x14ac:dyDescent="0.2">
      <c r="A238">
        <v>18</v>
      </c>
      <c r="B238" s="1">
        <f>DATE(sales__2[[#This Row],[year]],sales__2[[#This Row],[month]],1)</f>
        <v>45139</v>
      </c>
    </row>
    <row r="239" spans="1:2" x14ac:dyDescent="0.2">
      <c r="A239">
        <v>14</v>
      </c>
      <c r="B239" s="1">
        <f>DATE(sales__2[[#This Row],[year]],sales__2[[#This Row],[month]],1)</f>
        <v>45139</v>
      </c>
    </row>
    <row r="240" spans="1:2" x14ac:dyDescent="0.2">
      <c r="A240">
        <v>13</v>
      </c>
      <c r="B240" s="1">
        <f>DATE(sales__2[[#This Row],[year]],sales__2[[#This Row],[month]],1)</f>
        <v>45139</v>
      </c>
    </row>
    <row r="241" spans="1:2" x14ac:dyDescent="0.2">
      <c r="A241">
        <v>23</v>
      </c>
      <c r="B241" s="1">
        <f>DATE(sales__2[[#This Row],[year]],sales__2[[#This Row],[month]],1)</f>
        <v>45139</v>
      </c>
    </row>
    <row r="242" spans="1:2" x14ac:dyDescent="0.2">
      <c r="A242">
        <v>25</v>
      </c>
      <c r="B242" s="1">
        <f>DATE(sales__2[[#This Row],[year]],sales__2[[#This Row],[month]],1)</f>
        <v>45139</v>
      </c>
    </row>
    <row r="243" spans="1:2" x14ac:dyDescent="0.2">
      <c r="A243">
        <v>27</v>
      </c>
      <c r="B243" s="1">
        <f>DATE(sales__2[[#This Row],[year]],sales__2[[#This Row],[month]],1)</f>
        <v>45139</v>
      </c>
    </row>
    <row r="244" spans="1:2" x14ac:dyDescent="0.2">
      <c r="A244">
        <v>25</v>
      </c>
      <c r="B244" s="1">
        <f>DATE(sales__2[[#This Row],[year]],sales__2[[#This Row],[month]],1)</f>
        <v>45139</v>
      </c>
    </row>
    <row r="245" spans="1:2" x14ac:dyDescent="0.2">
      <c r="A245">
        <v>17</v>
      </c>
      <c r="B245" s="1">
        <f>DATE(sales__2[[#This Row],[year]],sales__2[[#This Row],[month]],1)</f>
        <v>45139</v>
      </c>
    </row>
    <row r="246" spans="1:2" x14ac:dyDescent="0.2">
      <c r="A246">
        <v>9</v>
      </c>
      <c r="B246" s="1">
        <f>DATE(sales__2[[#This Row],[year]],sales__2[[#This Row],[month]],1)</f>
        <v>45139</v>
      </c>
    </row>
    <row r="247" spans="1:2" x14ac:dyDescent="0.2">
      <c r="A247">
        <v>24</v>
      </c>
      <c r="B247" s="1">
        <f>DATE(sales__2[[#This Row],[year]],sales__2[[#This Row],[month]],1)</f>
        <v>45139</v>
      </c>
    </row>
    <row r="248" spans="1:2" x14ac:dyDescent="0.2">
      <c r="A248">
        <v>24</v>
      </c>
      <c r="B248" s="1">
        <f>DATE(sales__2[[#This Row],[year]],sales__2[[#This Row],[month]],1)</f>
        <v>45139</v>
      </c>
    </row>
    <row r="249" spans="1:2" x14ac:dyDescent="0.2">
      <c r="A249">
        <v>12</v>
      </c>
      <c r="B249" s="1">
        <f>DATE(sales__2[[#This Row],[year]],sales__2[[#This Row],[month]],1)</f>
        <v>45139</v>
      </c>
    </row>
    <row r="250" spans="1:2" x14ac:dyDescent="0.2">
      <c r="A250">
        <v>15</v>
      </c>
      <c r="B250" s="1">
        <f>DATE(sales__2[[#This Row],[year]],sales__2[[#This Row],[month]],1)</f>
        <v>45170</v>
      </c>
    </row>
    <row r="251" spans="1:2" x14ac:dyDescent="0.2">
      <c r="A251">
        <v>12</v>
      </c>
      <c r="B251" s="1">
        <f>DATE(sales__2[[#This Row],[year]],sales__2[[#This Row],[month]],1)</f>
        <v>45170</v>
      </c>
    </row>
    <row r="252" spans="1:2" x14ac:dyDescent="0.2">
      <c r="A252">
        <v>11</v>
      </c>
      <c r="B252" s="1">
        <f>DATE(sales__2[[#This Row],[year]],sales__2[[#This Row],[month]],1)</f>
        <v>45170</v>
      </c>
    </row>
    <row r="253" spans="1:2" x14ac:dyDescent="0.2">
      <c r="A253">
        <v>20</v>
      </c>
      <c r="B253" s="1">
        <f>DATE(sales__2[[#This Row],[year]],sales__2[[#This Row],[month]],1)</f>
        <v>45170</v>
      </c>
    </row>
    <row r="254" spans="1:2" x14ac:dyDescent="0.2">
      <c r="A254">
        <v>21</v>
      </c>
      <c r="B254" s="1">
        <f>DATE(sales__2[[#This Row],[year]],sales__2[[#This Row],[month]],1)</f>
        <v>45170</v>
      </c>
    </row>
    <row r="255" spans="1:2" x14ac:dyDescent="0.2">
      <c r="A255">
        <v>25</v>
      </c>
      <c r="B255" s="1">
        <f>DATE(sales__2[[#This Row],[year]],sales__2[[#This Row],[month]],1)</f>
        <v>45170</v>
      </c>
    </row>
    <row r="256" spans="1:2" x14ac:dyDescent="0.2">
      <c r="A256">
        <v>22</v>
      </c>
      <c r="B256" s="1">
        <f>DATE(sales__2[[#This Row],[year]],sales__2[[#This Row],[month]],1)</f>
        <v>45170</v>
      </c>
    </row>
    <row r="257" spans="1:2" x14ac:dyDescent="0.2">
      <c r="A257">
        <v>14</v>
      </c>
      <c r="B257" s="1">
        <f>DATE(sales__2[[#This Row],[year]],sales__2[[#This Row],[month]],1)</f>
        <v>45170</v>
      </c>
    </row>
    <row r="258" spans="1:2" x14ac:dyDescent="0.2">
      <c r="A258">
        <v>8</v>
      </c>
      <c r="B258" s="1">
        <f>DATE(sales__2[[#This Row],[year]],sales__2[[#This Row],[month]],1)</f>
        <v>45170</v>
      </c>
    </row>
    <row r="259" spans="1:2" x14ac:dyDescent="0.2">
      <c r="A259">
        <v>18</v>
      </c>
      <c r="B259" s="1">
        <f>DATE(sales__2[[#This Row],[year]],sales__2[[#This Row],[month]],1)</f>
        <v>45170</v>
      </c>
    </row>
    <row r="260" spans="1:2" x14ac:dyDescent="0.2">
      <c r="A260">
        <v>21</v>
      </c>
      <c r="B260" s="1">
        <f>DATE(sales__2[[#This Row],[year]],sales__2[[#This Row],[month]],1)</f>
        <v>45170</v>
      </c>
    </row>
    <row r="261" spans="1:2" x14ac:dyDescent="0.2">
      <c r="A261">
        <v>11</v>
      </c>
      <c r="B261" s="1">
        <f>DATE(sales__2[[#This Row],[year]],sales__2[[#This Row],[month]],1)</f>
        <v>45170</v>
      </c>
    </row>
    <row r="262" spans="1:2" x14ac:dyDescent="0.2">
      <c r="A262">
        <v>13</v>
      </c>
      <c r="B262" s="1">
        <f>DATE(sales__2[[#This Row],[year]],sales__2[[#This Row],[month]],1)</f>
        <v>45200</v>
      </c>
    </row>
    <row r="263" spans="1:2" x14ac:dyDescent="0.2">
      <c r="A263">
        <v>10</v>
      </c>
      <c r="B263" s="1">
        <f>DATE(sales__2[[#This Row],[year]],sales__2[[#This Row],[month]],1)</f>
        <v>45200</v>
      </c>
    </row>
    <row r="264" spans="1:2" x14ac:dyDescent="0.2">
      <c r="A264">
        <v>9</v>
      </c>
      <c r="B264" s="1">
        <f>DATE(sales__2[[#This Row],[year]],sales__2[[#This Row],[month]],1)</f>
        <v>45200</v>
      </c>
    </row>
    <row r="265" spans="1:2" x14ac:dyDescent="0.2">
      <c r="A265">
        <v>18</v>
      </c>
      <c r="B265" s="1">
        <f>DATE(sales__2[[#This Row],[year]],sales__2[[#This Row],[month]],1)</f>
        <v>45200</v>
      </c>
    </row>
    <row r="266" spans="1:2" x14ac:dyDescent="0.2">
      <c r="A266">
        <v>5</v>
      </c>
      <c r="B266" s="1">
        <f>DATE(sales__2[[#This Row],[year]],sales__2[[#This Row],[month]],1)</f>
        <v>45200</v>
      </c>
    </row>
    <row r="267" spans="1:2" x14ac:dyDescent="0.2">
      <c r="A267">
        <v>22</v>
      </c>
      <c r="B267" s="1">
        <f>DATE(sales__2[[#This Row],[year]],sales__2[[#This Row],[month]],1)</f>
        <v>45200</v>
      </c>
    </row>
    <row r="268" spans="1:2" x14ac:dyDescent="0.2">
      <c r="A268">
        <v>21</v>
      </c>
      <c r="B268" s="1">
        <f>DATE(sales__2[[#This Row],[year]],sales__2[[#This Row],[month]],1)</f>
        <v>45200</v>
      </c>
    </row>
    <row r="269" spans="1:2" x14ac:dyDescent="0.2">
      <c r="A269">
        <v>12</v>
      </c>
      <c r="B269" s="1">
        <f>DATE(sales__2[[#This Row],[year]],sales__2[[#This Row],[month]],1)</f>
        <v>45200</v>
      </c>
    </row>
    <row r="270" spans="1:2" x14ac:dyDescent="0.2">
      <c r="A270">
        <v>7</v>
      </c>
      <c r="B270" s="1">
        <f>DATE(sales__2[[#This Row],[year]],sales__2[[#This Row],[month]],1)</f>
        <v>45200</v>
      </c>
    </row>
    <row r="271" spans="1:2" x14ac:dyDescent="0.2">
      <c r="A271">
        <v>16</v>
      </c>
      <c r="B271" s="1">
        <f>DATE(sales__2[[#This Row],[year]],sales__2[[#This Row],[month]],1)</f>
        <v>45200</v>
      </c>
    </row>
    <row r="272" spans="1:2" x14ac:dyDescent="0.2">
      <c r="A272">
        <v>4</v>
      </c>
      <c r="B272" s="1">
        <f>DATE(sales__2[[#This Row],[year]],sales__2[[#This Row],[month]],1)</f>
        <v>45200</v>
      </c>
    </row>
    <row r="273" spans="1:2" x14ac:dyDescent="0.2">
      <c r="A273">
        <v>19</v>
      </c>
      <c r="B273" s="1">
        <f>DATE(sales__2[[#This Row],[year]],sales__2[[#This Row],[month]],1)</f>
        <v>45200</v>
      </c>
    </row>
    <row r="274" spans="1:2" x14ac:dyDescent="0.2">
      <c r="A274">
        <v>10</v>
      </c>
      <c r="B274" s="1">
        <f>DATE(sales__2[[#This Row],[year]],sales__2[[#This Row],[month]],1)</f>
        <v>45200</v>
      </c>
    </row>
    <row r="275" spans="1:2" x14ac:dyDescent="0.2">
      <c r="A275">
        <v>12</v>
      </c>
      <c r="B275" s="1">
        <f>DATE(sales__2[[#This Row],[year]],sales__2[[#This Row],[month]],1)</f>
        <v>45231</v>
      </c>
    </row>
    <row r="276" spans="1:2" x14ac:dyDescent="0.2">
      <c r="A276">
        <v>9</v>
      </c>
      <c r="B276" s="1">
        <f>DATE(sales__2[[#This Row],[year]],sales__2[[#This Row],[month]],1)</f>
        <v>45231</v>
      </c>
    </row>
    <row r="277" spans="1:2" x14ac:dyDescent="0.2">
      <c r="A277">
        <v>9</v>
      </c>
      <c r="B277" s="1">
        <f>DATE(sales__2[[#This Row],[year]],sales__2[[#This Row],[month]],1)</f>
        <v>45231</v>
      </c>
    </row>
    <row r="278" spans="1:2" x14ac:dyDescent="0.2">
      <c r="A278">
        <v>20</v>
      </c>
      <c r="B278" s="1">
        <f>DATE(sales__2[[#This Row],[year]],sales__2[[#This Row],[month]],1)</f>
        <v>45231</v>
      </c>
    </row>
    <row r="279" spans="1:2" x14ac:dyDescent="0.2">
      <c r="A279">
        <v>21</v>
      </c>
      <c r="B279" s="1">
        <f>DATE(sales__2[[#This Row],[year]],sales__2[[#This Row],[month]],1)</f>
        <v>45231</v>
      </c>
    </row>
    <row r="280" spans="1:2" x14ac:dyDescent="0.2">
      <c r="A280">
        <v>22</v>
      </c>
      <c r="B280" s="1">
        <f>DATE(sales__2[[#This Row],[year]],sales__2[[#This Row],[month]],1)</f>
        <v>45231</v>
      </c>
    </row>
    <row r="281" spans="1:2" x14ac:dyDescent="0.2">
      <c r="A281">
        <v>18</v>
      </c>
      <c r="B281" s="1">
        <f>DATE(sales__2[[#This Row],[year]],sales__2[[#This Row],[month]],1)</f>
        <v>45231</v>
      </c>
    </row>
    <row r="282" spans="1:2" x14ac:dyDescent="0.2">
      <c r="A282">
        <v>12</v>
      </c>
      <c r="B282" s="1">
        <f>DATE(sales__2[[#This Row],[year]],sales__2[[#This Row],[month]],1)</f>
        <v>45231</v>
      </c>
    </row>
    <row r="283" spans="1:2" x14ac:dyDescent="0.2">
      <c r="A283">
        <v>15</v>
      </c>
      <c r="B283" s="1">
        <f>DATE(sales__2[[#This Row],[year]],sales__2[[#This Row],[month]],1)</f>
        <v>45231</v>
      </c>
    </row>
    <row r="284" spans="1:2" x14ac:dyDescent="0.2">
      <c r="A284">
        <v>17</v>
      </c>
      <c r="B284" s="1">
        <f>DATE(sales__2[[#This Row],[year]],sales__2[[#This Row],[month]],1)</f>
        <v>45231</v>
      </c>
    </row>
    <row r="285" spans="1:2" x14ac:dyDescent="0.2">
      <c r="A285">
        <v>9</v>
      </c>
      <c r="B285" s="1">
        <f>DATE(sales__2[[#This Row],[year]],sales__2[[#This Row],[month]],1)</f>
        <v>45231</v>
      </c>
    </row>
    <row r="286" spans="1:2" x14ac:dyDescent="0.2">
      <c r="A286">
        <v>14</v>
      </c>
      <c r="B286" s="1">
        <f>DATE(sales__2[[#This Row],[year]],sales__2[[#This Row],[month]],1)</f>
        <v>45261</v>
      </c>
    </row>
    <row r="287" spans="1:2" x14ac:dyDescent="0.2">
      <c r="A287">
        <v>11</v>
      </c>
      <c r="B287" s="1">
        <f>DATE(sales__2[[#This Row],[year]],sales__2[[#This Row],[month]],1)</f>
        <v>45261</v>
      </c>
    </row>
    <row r="288" spans="1:2" x14ac:dyDescent="0.2">
      <c r="A288">
        <v>11</v>
      </c>
      <c r="B288" s="1">
        <f>DATE(sales__2[[#This Row],[year]],sales__2[[#This Row],[month]],1)</f>
        <v>45261</v>
      </c>
    </row>
    <row r="289" spans="1:2" x14ac:dyDescent="0.2">
      <c r="A289">
        <v>18</v>
      </c>
      <c r="B289" s="1">
        <f>DATE(sales__2[[#This Row],[year]],sales__2[[#This Row],[month]],1)</f>
        <v>45261</v>
      </c>
    </row>
    <row r="290" spans="1:2" x14ac:dyDescent="0.2">
      <c r="A290">
        <v>6</v>
      </c>
      <c r="B290" s="1">
        <f>DATE(sales__2[[#This Row],[year]],sales__2[[#This Row],[month]],1)</f>
        <v>45261</v>
      </c>
    </row>
    <row r="291" spans="1:2" x14ac:dyDescent="0.2">
      <c r="A291">
        <v>24</v>
      </c>
      <c r="B291" s="1">
        <f>DATE(sales__2[[#This Row],[year]],sales__2[[#This Row],[month]],1)</f>
        <v>45261</v>
      </c>
    </row>
    <row r="292" spans="1:2" x14ac:dyDescent="0.2">
      <c r="A292">
        <v>22</v>
      </c>
      <c r="B292" s="1">
        <f>DATE(sales__2[[#This Row],[year]],sales__2[[#This Row],[month]],1)</f>
        <v>45261</v>
      </c>
    </row>
    <row r="293" spans="1:2" x14ac:dyDescent="0.2">
      <c r="A293">
        <v>15</v>
      </c>
      <c r="B293" s="1">
        <f>DATE(sales__2[[#This Row],[year]],sales__2[[#This Row],[month]],1)</f>
        <v>45261</v>
      </c>
    </row>
    <row r="294" spans="1:2" x14ac:dyDescent="0.2">
      <c r="A294">
        <v>8</v>
      </c>
      <c r="B294" s="1">
        <f>DATE(sales__2[[#This Row],[year]],sales__2[[#This Row],[month]],1)</f>
        <v>45261</v>
      </c>
    </row>
    <row r="295" spans="1:2" x14ac:dyDescent="0.2">
      <c r="A295">
        <v>18</v>
      </c>
      <c r="B295" s="1">
        <f>DATE(sales__2[[#This Row],[year]],sales__2[[#This Row],[month]],1)</f>
        <v>45261</v>
      </c>
    </row>
    <row r="296" spans="1:2" x14ac:dyDescent="0.2">
      <c r="A296">
        <v>5</v>
      </c>
      <c r="B296" s="1">
        <f>DATE(sales__2[[#This Row],[year]],sales__2[[#This Row],[month]],1)</f>
        <v>45261</v>
      </c>
    </row>
    <row r="297" spans="1:2" x14ac:dyDescent="0.2">
      <c r="A297">
        <v>22</v>
      </c>
      <c r="B297" s="1">
        <f>DATE(sales__2[[#This Row],[year]],sales__2[[#This Row],[month]],1)</f>
        <v>45261</v>
      </c>
    </row>
    <row r="298" spans="1:2" x14ac:dyDescent="0.2">
      <c r="A298">
        <v>11</v>
      </c>
      <c r="B298" s="1">
        <f>DATE(sales__2[[#This Row],[year]],sales__2[[#This Row],[month]],1)</f>
        <v>45261</v>
      </c>
    </row>
    <row r="299" spans="1:2" x14ac:dyDescent="0.2">
      <c r="A299">
        <v>13</v>
      </c>
      <c r="B299" s="1">
        <f>DATE(sales__2[[#This Row],[year]],sales__2[[#This Row],[month]],1)</f>
        <v>45292</v>
      </c>
    </row>
    <row r="300" spans="1:2" x14ac:dyDescent="0.2">
      <c r="A300">
        <v>8</v>
      </c>
      <c r="B300" s="1">
        <f>DATE(sales__2[[#This Row],[year]],sales__2[[#This Row],[month]],1)</f>
        <v>45292</v>
      </c>
    </row>
    <row r="301" spans="1:2" x14ac:dyDescent="0.2">
      <c r="A301">
        <v>10</v>
      </c>
      <c r="B301" s="1">
        <f>DATE(sales__2[[#This Row],[year]],sales__2[[#This Row],[month]],1)</f>
        <v>45292</v>
      </c>
    </row>
    <row r="302" spans="1:2" x14ac:dyDescent="0.2">
      <c r="A302">
        <v>6</v>
      </c>
      <c r="B302" s="1">
        <f>DATE(sales__2[[#This Row],[year]],sales__2[[#This Row],[month]],1)</f>
        <v>45292</v>
      </c>
    </row>
    <row r="303" spans="1:2" x14ac:dyDescent="0.2">
      <c r="A303">
        <v>9</v>
      </c>
      <c r="B303" s="1">
        <f>DATE(sales__2[[#This Row],[year]],sales__2[[#This Row],[month]],1)</f>
        <v>45292</v>
      </c>
    </row>
    <row r="304" spans="1:2" x14ac:dyDescent="0.2">
      <c r="A304">
        <v>9</v>
      </c>
      <c r="B304" s="1">
        <f>DATE(sales__2[[#This Row],[year]],sales__2[[#This Row],[month]],1)</f>
        <v>45292</v>
      </c>
    </row>
    <row r="305" spans="1:2" x14ac:dyDescent="0.2">
      <c r="A305">
        <v>6</v>
      </c>
      <c r="B305" s="1">
        <f>DATE(sales__2[[#This Row],[year]],sales__2[[#This Row],[month]],1)</f>
        <v>45292</v>
      </c>
    </row>
    <row r="306" spans="1:2" x14ac:dyDescent="0.2">
      <c r="A306">
        <v>15</v>
      </c>
      <c r="B306" s="1">
        <f>DATE(sales__2[[#This Row],[year]],sales__2[[#This Row],[month]],1)</f>
        <v>45292</v>
      </c>
    </row>
    <row r="307" spans="1:2" x14ac:dyDescent="0.2">
      <c r="A307">
        <v>20</v>
      </c>
      <c r="B307" s="1">
        <f>DATE(sales__2[[#This Row],[year]],sales__2[[#This Row],[month]],1)</f>
        <v>45292</v>
      </c>
    </row>
    <row r="308" spans="1:2" x14ac:dyDescent="0.2">
      <c r="A308">
        <v>4</v>
      </c>
      <c r="B308" s="1">
        <f>DATE(sales__2[[#This Row],[year]],sales__2[[#This Row],[month]],1)</f>
        <v>45292</v>
      </c>
    </row>
    <row r="309" spans="1:2" x14ac:dyDescent="0.2">
      <c r="A309">
        <v>21</v>
      </c>
      <c r="B309" s="1">
        <f>DATE(sales__2[[#This Row],[year]],sales__2[[#This Row],[month]],1)</f>
        <v>45292</v>
      </c>
    </row>
    <row r="310" spans="1:2" x14ac:dyDescent="0.2">
      <c r="A310">
        <v>21</v>
      </c>
      <c r="B310" s="1">
        <f>DATE(sales__2[[#This Row],[year]],sales__2[[#This Row],[month]],1)</f>
        <v>45292</v>
      </c>
    </row>
    <row r="311" spans="1:2" x14ac:dyDescent="0.2">
      <c r="A311">
        <v>11</v>
      </c>
      <c r="B311" s="1">
        <f>DATE(sales__2[[#This Row],[year]],sales__2[[#This Row],[month]],1)</f>
        <v>45292</v>
      </c>
    </row>
    <row r="312" spans="1:2" x14ac:dyDescent="0.2">
      <c r="A312">
        <v>7</v>
      </c>
      <c r="B312" s="1">
        <f>DATE(sales__2[[#This Row],[year]],sales__2[[#This Row],[month]],1)</f>
        <v>45292</v>
      </c>
    </row>
    <row r="313" spans="1:2" x14ac:dyDescent="0.2">
      <c r="A313">
        <v>14</v>
      </c>
      <c r="B313" s="1">
        <f>DATE(sales__2[[#This Row],[year]],sales__2[[#This Row],[month]],1)</f>
        <v>45292</v>
      </c>
    </row>
    <row r="314" spans="1:2" x14ac:dyDescent="0.2">
      <c r="A314">
        <v>3</v>
      </c>
      <c r="B314" s="1">
        <f>DATE(sales__2[[#This Row],[year]],sales__2[[#This Row],[month]],1)</f>
        <v>45292</v>
      </c>
    </row>
    <row r="315" spans="1:2" x14ac:dyDescent="0.2">
      <c r="A315">
        <v>16</v>
      </c>
      <c r="B315" s="1">
        <f>DATE(sales__2[[#This Row],[year]],sales__2[[#This Row],[month]],1)</f>
        <v>45292</v>
      </c>
    </row>
    <row r="316" spans="1:2" x14ac:dyDescent="0.2">
      <c r="A316">
        <v>8</v>
      </c>
      <c r="B316" s="1">
        <f>DATE(sales__2[[#This Row],[year]],sales__2[[#This Row],[month]],1)</f>
        <v>45292</v>
      </c>
    </row>
    <row r="317" spans="1:2" x14ac:dyDescent="0.2">
      <c r="A317">
        <v>10</v>
      </c>
      <c r="B317" s="1">
        <f>DATE(sales__2[[#This Row],[year]],sales__2[[#This Row],[month]],1)</f>
        <v>45323</v>
      </c>
    </row>
    <row r="318" spans="1:2" x14ac:dyDescent="0.2">
      <c r="A318">
        <v>8</v>
      </c>
      <c r="B318" s="1">
        <f>DATE(sales__2[[#This Row],[year]],sales__2[[#This Row],[month]],1)</f>
        <v>45323</v>
      </c>
    </row>
    <row r="319" spans="1:2" x14ac:dyDescent="0.2">
      <c r="A319">
        <v>8</v>
      </c>
      <c r="B319" s="1">
        <f>DATE(sales__2[[#This Row],[year]],sales__2[[#This Row],[month]],1)</f>
        <v>45323</v>
      </c>
    </row>
    <row r="320" spans="1:2" x14ac:dyDescent="0.2">
      <c r="A320">
        <v>12</v>
      </c>
      <c r="B320" s="1">
        <f>DATE(sales__2[[#This Row],[year]],sales__2[[#This Row],[month]],1)</f>
        <v>45323</v>
      </c>
    </row>
    <row r="321" spans="1:2" x14ac:dyDescent="0.2">
      <c r="A321">
        <v>18</v>
      </c>
      <c r="B321" s="1">
        <f>DATE(sales__2[[#This Row],[year]],sales__2[[#This Row],[month]],1)</f>
        <v>45323</v>
      </c>
    </row>
    <row r="322" spans="1:2" x14ac:dyDescent="0.2">
      <c r="A322">
        <v>9</v>
      </c>
      <c r="B322" s="1">
        <f>DATE(sales__2[[#This Row],[year]],sales__2[[#This Row],[month]],1)</f>
        <v>45323</v>
      </c>
    </row>
    <row r="323" spans="1:2" x14ac:dyDescent="0.2">
      <c r="A323">
        <v>6</v>
      </c>
      <c r="B323" s="1">
        <f>DATE(sales__2[[#This Row],[year]],sales__2[[#This Row],[month]],1)</f>
        <v>45323</v>
      </c>
    </row>
    <row r="324" spans="1:2" x14ac:dyDescent="0.2">
      <c r="A324">
        <v>11</v>
      </c>
      <c r="B324" s="1">
        <f>DATE(sales__2[[#This Row],[year]],sales__2[[#This Row],[month]],1)</f>
        <v>45323</v>
      </c>
    </row>
    <row r="325" spans="1:2" x14ac:dyDescent="0.2">
      <c r="A325">
        <v>14</v>
      </c>
      <c r="B325" s="1">
        <f>DATE(sales__2[[#This Row],[year]],sales__2[[#This Row],[month]],1)</f>
        <v>45323</v>
      </c>
    </row>
    <row r="326" spans="1:2" x14ac:dyDescent="0.2">
      <c r="A326">
        <v>7</v>
      </c>
      <c r="B326" s="1">
        <f>DATE(sales__2[[#This Row],[year]],sales__2[[#This Row],[month]],1)</f>
        <v>45323</v>
      </c>
    </row>
    <row r="327" spans="1:2" x14ac:dyDescent="0.2">
      <c r="A327">
        <v>14</v>
      </c>
      <c r="B327" s="1">
        <f>DATE(sales__2[[#This Row],[year]],sales__2[[#This Row],[month]],1)</f>
        <v>45352</v>
      </c>
    </row>
    <row r="328" spans="1:2" x14ac:dyDescent="0.2">
      <c r="A328">
        <v>10</v>
      </c>
      <c r="B328" s="1">
        <f>DATE(sales__2[[#This Row],[year]],sales__2[[#This Row],[month]],1)</f>
        <v>45352</v>
      </c>
    </row>
    <row r="329" spans="1:2" x14ac:dyDescent="0.2">
      <c r="A329">
        <v>9</v>
      </c>
      <c r="B329" s="1">
        <f>DATE(sales__2[[#This Row],[year]],sales__2[[#This Row],[month]],1)</f>
        <v>45352</v>
      </c>
    </row>
    <row r="330" spans="1:2" x14ac:dyDescent="0.2">
      <c r="A330">
        <v>16</v>
      </c>
      <c r="B330" s="1">
        <f>DATE(sales__2[[#This Row],[year]],sales__2[[#This Row],[month]],1)</f>
        <v>45352</v>
      </c>
    </row>
    <row r="331" spans="1:2" x14ac:dyDescent="0.2">
      <c r="A331">
        <v>22</v>
      </c>
      <c r="B331" s="1">
        <f>DATE(sales__2[[#This Row],[year]],sales__2[[#This Row],[month]],1)</f>
        <v>45352</v>
      </c>
    </row>
    <row r="332" spans="1:2" x14ac:dyDescent="0.2">
      <c r="A332">
        <v>22</v>
      </c>
      <c r="B332" s="1">
        <f>DATE(sales__2[[#This Row],[year]],sales__2[[#This Row],[month]],1)</f>
        <v>45352</v>
      </c>
    </row>
    <row r="333" spans="1:2" x14ac:dyDescent="0.2">
      <c r="A333">
        <v>18</v>
      </c>
      <c r="B333" s="1">
        <f>DATE(sales__2[[#This Row],[year]],sales__2[[#This Row],[month]],1)</f>
        <v>45352</v>
      </c>
    </row>
    <row r="334" spans="1:2" x14ac:dyDescent="0.2">
      <c r="A334">
        <v>12</v>
      </c>
      <c r="B334" s="1">
        <f>DATE(sales__2[[#This Row],[year]],sales__2[[#This Row],[month]],1)</f>
        <v>45352</v>
      </c>
    </row>
    <row r="335" spans="1:2" x14ac:dyDescent="0.2">
      <c r="A335">
        <v>15</v>
      </c>
      <c r="B335" s="1">
        <f>DATE(sales__2[[#This Row],[year]],sales__2[[#This Row],[month]],1)</f>
        <v>45352</v>
      </c>
    </row>
    <row r="336" spans="1:2" x14ac:dyDescent="0.2">
      <c r="A336">
        <v>18</v>
      </c>
      <c r="B336" s="1">
        <f>DATE(sales__2[[#This Row],[year]],sales__2[[#This Row],[month]],1)</f>
        <v>45352</v>
      </c>
    </row>
    <row r="337" spans="1:2" x14ac:dyDescent="0.2">
      <c r="A337">
        <v>9</v>
      </c>
      <c r="B337" s="1">
        <f>DATE(sales__2[[#This Row],[year]],sales__2[[#This Row],[month]],1)</f>
        <v>45352</v>
      </c>
    </row>
    <row r="338" spans="1:2" x14ac:dyDescent="0.2">
      <c r="A338">
        <v>16</v>
      </c>
      <c r="B338" s="1">
        <f>DATE(sales__2[[#This Row],[year]],sales__2[[#This Row],[month]],1)</f>
        <v>45383</v>
      </c>
    </row>
    <row r="339" spans="1:2" x14ac:dyDescent="0.2">
      <c r="A339">
        <v>12</v>
      </c>
      <c r="B339" s="1">
        <f>DATE(sales__2[[#This Row],[year]],sales__2[[#This Row],[month]],1)</f>
        <v>45383</v>
      </c>
    </row>
    <row r="340" spans="1:2" x14ac:dyDescent="0.2">
      <c r="A340">
        <v>10</v>
      </c>
      <c r="B340" s="1">
        <f>DATE(sales__2[[#This Row],[year]],sales__2[[#This Row],[month]],1)</f>
        <v>45383</v>
      </c>
    </row>
    <row r="341" spans="1:2" x14ac:dyDescent="0.2">
      <c r="A341">
        <v>18</v>
      </c>
      <c r="B341" s="1">
        <f>DATE(sales__2[[#This Row],[year]],sales__2[[#This Row],[month]],1)</f>
        <v>45383</v>
      </c>
    </row>
    <row r="342" spans="1:2" x14ac:dyDescent="0.2">
      <c r="A342">
        <v>5</v>
      </c>
      <c r="B342" s="1">
        <f>DATE(sales__2[[#This Row],[year]],sales__2[[#This Row],[month]],1)</f>
        <v>45383</v>
      </c>
    </row>
    <row r="343" spans="1:2" x14ac:dyDescent="0.2">
      <c r="A343">
        <v>25</v>
      </c>
      <c r="B343" s="1">
        <f>DATE(sales__2[[#This Row],[year]],sales__2[[#This Row],[month]],1)</f>
        <v>45383</v>
      </c>
    </row>
    <row r="344" spans="1:2" x14ac:dyDescent="0.2">
      <c r="A344">
        <v>22</v>
      </c>
      <c r="B344" s="1">
        <f>DATE(sales__2[[#This Row],[year]],sales__2[[#This Row],[month]],1)</f>
        <v>45383</v>
      </c>
    </row>
    <row r="345" spans="1:2" x14ac:dyDescent="0.2">
      <c r="A345">
        <v>14</v>
      </c>
      <c r="B345" s="1">
        <f>DATE(sales__2[[#This Row],[year]],sales__2[[#This Row],[month]],1)</f>
        <v>45383</v>
      </c>
    </row>
    <row r="346" spans="1:2" x14ac:dyDescent="0.2">
      <c r="A346">
        <v>8</v>
      </c>
      <c r="B346" s="1">
        <f>DATE(sales__2[[#This Row],[year]],sales__2[[#This Row],[month]],1)</f>
        <v>45383</v>
      </c>
    </row>
    <row r="347" spans="1:2" x14ac:dyDescent="0.2">
      <c r="A347">
        <v>15</v>
      </c>
      <c r="B347" s="1">
        <f>DATE(sales__2[[#This Row],[year]],sales__2[[#This Row],[month]],1)</f>
        <v>45383</v>
      </c>
    </row>
    <row r="348" spans="1:2" x14ac:dyDescent="0.2">
      <c r="A348">
        <v>4</v>
      </c>
      <c r="B348" s="1">
        <f>DATE(sales__2[[#This Row],[year]],sales__2[[#This Row],[month]],1)</f>
        <v>45383</v>
      </c>
    </row>
    <row r="349" spans="1:2" x14ac:dyDescent="0.2">
      <c r="A349">
        <v>19</v>
      </c>
      <c r="B349" s="1">
        <f>DATE(sales__2[[#This Row],[year]],sales__2[[#This Row],[month]],1)</f>
        <v>45383</v>
      </c>
    </row>
    <row r="350" spans="1:2" x14ac:dyDescent="0.2">
      <c r="A350">
        <v>11</v>
      </c>
      <c r="B350" s="1">
        <f>DATE(sales__2[[#This Row],[year]],sales__2[[#This Row],[month]],1)</f>
        <v>45383</v>
      </c>
    </row>
    <row r="351" spans="1:2" x14ac:dyDescent="0.2">
      <c r="A351">
        <v>18</v>
      </c>
      <c r="B351" s="1">
        <f>DATE(sales__2[[#This Row],[year]],sales__2[[#This Row],[month]],1)</f>
        <v>45413</v>
      </c>
    </row>
    <row r="352" spans="1:2" x14ac:dyDescent="0.2">
      <c r="A352">
        <v>14</v>
      </c>
      <c r="B352" s="1">
        <f>DATE(sales__2[[#This Row],[year]],sales__2[[#This Row],[month]],1)</f>
        <v>45413</v>
      </c>
    </row>
    <row r="353" spans="1:2" x14ac:dyDescent="0.2">
      <c r="A353">
        <v>12</v>
      </c>
      <c r="B353" s="1">
        <f>DATE(sales__2[[#This Row],[year]],sales__2[[#This Row],[month]],1)</f>
        <v>45413</v>
      </c>
    </row>
    <row r="354" spans="1:2" x14ac:dyDescent="0.2">
      <c r="A354">
        <v>20</v>
      </c>
      <c r="B354" s="1">
        <f>DATE(sales__2[[#This Row],[year]],sales__2[[#This Row],[month]],1)</f>
        <v>45413</v>
      </c>
    </row>
    <row r="355" spans="1:2" x14ac:dyDescent="0.2">
      <c r="A355">
        <v>13</v>
      </c>
      <c r="B355" s="1">
        <f>DATE(sales__2[[#This Row],[year]],sales__2[[#This Row],[month]],1)</f>
        <v>45413</v>
      </c>
    </row>
    <row r="356" spans="1:2" x14ac:dyDescent="0.2">
      <c r="A356">
        <v>25</v>
      </c>
      <c r="B356" s="1">
        <f>DATE(sales__2[[#This Row],[year]],sales__2[[#This Row],[month]],1)</f>
        <v>45413</v>
      </c>
    </row>
    <row r="357" spans="1:2" x14ac:dyDescent="0.2">
      <c r="A357">
        <v>20</v>
      </c>
      <c r="B357" s="1">
        <f>DATE(sales__2[[#This Row],[year]],sales__2[[#This Row],[month]],1)</f>
        <v>45413</v>
      </c>
    </row>
    <row r="358" spans="1:2" x14ac:dyDescent="0.2">
      <c r="A358">
        <v>15</v>
      </c>
      <c r="B358" s="1">
        <f>DATE(sales__2[[#This Row],[year]],sales__2[[#This Row],[month]],1)</f>
        <v>45413</v>
      </c>
    </row>
    <row r="359" spans="1:2" x14ac:dyDescent="0.2">
      <c r="A359">
        <v>17</v>
      </c>
      <c r="B359" s="1">
        <f>DATE(sales__2[[#This Row],[year]],sales__2[[#This Row],[month]],1)</f>
        <v>45413</v>
      </c>
    </row>
    <row r="360" spans="1:2" x14ac:dyDescent="0.2">
      <c r="A360">
        <v>21</v>
      </c>
      <c r="B360" s="1">
        <f>DATE(sales__2[[#This Row],[year]],sales__2[[#This Row],[month]],1)</f>
        <v>45413</v>
      </c>
    </row>
    <row r="361" spans="1:2" x14ac:dyDescent="0.2">
      <c r="A361">
        <v>10</v>
      </c>
      <c r="B361" s="1">
        <f>DATE(sales__2[[#This Row],[year]],sales__2[[#This Row],[month]],1)</f>
        <v>45413</v>
      </c>
    </row>
    <row r="362" spans="1:2" x14ac:dyDescent="0.2">
      <c r="A362">
        <v>18</v>
      </c>
      <c r="B362" s="1">
        <f>DATE(sales__2[[#This Row],[year]],sales__2[[#This Row],[month]],1)</f>
        <v>45444</v>
      </c>
    </row>
    <row r="363" spans="1:2" x14ac:dyDescent="0.2">
      <c r="A363">
        <v>15</v>
      </c>
      <c r="B363" s="1">
        <f>DATE(sales__2[[#This Row],[year]],sales__2[[#This Row],[month]],1)</f>
        <v>45444</v>
      </c>
    </row>
    <row r="364" spans="1:2" x14ac:dyDescent="0.2">
      <c r="A364">
        <v>12</v>
      </c>
      <c r="B364" s="1">
        <f>DATE(sales__2[[#This Row],[year]],sales__2[[#This Row],[month]],1)</f>
        <v>45444</v>
      </c>
    </row>
    <row r="365" spans="1:2" x14ac:dyDescent="0.2">
      <c r="A365">
        <v>22</v>
      </c>
      <c r="B365" s="1">
        <f>DATE(sales__2[[#This Row],[year]],sales__2[[#This Row],[month]],1)</f>
        <v>45444</v>
      </c>
    </row>
    <row r="366" spans="1:2" x14ac:dyDescent="0.2">
      <c r="A366">
        <v>25</v>
      </c>
      <c r="B366" s="1">
        <f>DATE(sales__2[[#This Row],[year]],sales__2[[#This Row],[month]],1)</f>
        <v>45444</v>
      </c>
    </row>
    <row r="367" spans="1:2" x14ac:dyDescent="0.2">
      <c r="A367">
        <v>28</v>
      </c>
      <c r="B367" s="1">
        <f>DATE(sales__2[[#This Row],[year]],sales__2[[#This Row],[month]],1)</f>
        <v>45444</v>
      </c>
    </row>
    <row r="368" spans="1:2" x14ac:dyDescent="0.2">
      <c r="A368">
        <v>26</v>
      </c>
      <c r="B368" s="1">
        <f>DATE(sales__2[[#This Row],[year]],sales__2[[#This Row],[month]],1)</f>
        <v>45444</v>
      </c>
    </row>
    <row r="369" spans="1:2" x14ac:dyDescent="0.2">
      <c r="A369">
        <v>22</v>
      </c>
      <c r="B369" s="1">
        <f>DATE(sales__2[[#This Row],[year]],sales__2[[#This Row],[month]],1)</f>
        <v>45444</v>
      </c>
    </row>
    <row r="370" spans="1:2" x14ac:dyDescent="0.2">
      <c r="A370">
        <v>17</v>
      </c>
      <c r="B370" s="1">
        <f>DATE(sales__2[[#This Row],[year]],sales__2[[#This Row],[month]],1)</f>
        <v>45444</v>
      </c>
    </row>
    <row r="371" spans="1:2" x14ac:dyDescent="0.2">
      <c r="A371">
        <v>9</v>
      </c>
      <c r="B371" s="1">
        <f>DATE(sales__2[[#This Row],[year]],sales__2[[#This Row],[month]],1)</f>
        <v>45444</v>
      </c>
    </row>
    <row r="372" spans="1:2" x14ac:dyDescent="0.2">
      <c r="A372">
        <v>20</v>
      </c>
      <c r="B372" s="1">
        <f>DATE(sales__2[[#This Row],[year]],sales__2[[#This Row],[month]],1)</f>
        <v>45444</v>
      </c>
    </row>
    <row r="373" spans="1:2" x14ac:dyDescent="0.2">
      <c r="A373">
        <v>23</v>
      </c>
      <c r="B373" s="1">
        <f>DATE(sales__2[[#This Row],[year]],sales__2[[#This Row],[month]],1)</f>
        <v>45444</v>
      </c>
    </row>
    <row r="374" spans="1:2" x14ac:dyDescent="0.2">
      <c r="A374">
        <v>12</v>
      </c>
      <c r="B374" s="1">
        <f>DATE(sales__2[[#This Row],[year]],sales__2[[#This Row],[month]],1)</f>
        <v>45444</v>
      </c>
    </row>
    <row r="375" spans="1:2" x14ac:dyDescent="0.2">
      <c r="A375">
        <v>20</v>
      </c>
      <c r="B375" s="1">
        <f>DATE(sales__2[[#This Row],[year]],sales__2[[#This Row],[month]],1)</f>
        <v>45474</v>
      </c>
    </row>
    <row r="376" spans="1:2" x14ac:dyDescent="0.2">
      <c r="A376">
        <v>16</v>
      </c>
      <c r="B376" s="1">
        <f>DATE(sales__2[[#This Row],[year]],sales__2[[#This Row],[month]],1)</f>
        <v>45474</v>
      </c>
    </row>
    <row r="377" spans="1:2" x14ac:dyDescent="0.2">
      <c r="A377">
        <v>15</v>
      </c>
      <c r="B377" s="1">
        <f>DATE(sales__2[[#This Row],[year]],sales__2[[#This Row],[month]],1)</f>
        <v>45474</v>
      </c>
    </row>
    <row r="378" spans="1:2" x14ac:dyDescent="0.2">
      <c r="A378">
        <v>24</v>
      </c>
      <c r="B378" s="1">
        <f>DATE(sales__2[[#This Row],[year]],sales__2[[#This Row],[month]],1)</f>
        <v>45474</v>
      </c>
    </row>
    <row r="379" spans="1:2" x14ac:dyDescent="0.2">
      <c r="A379">
        <v>30</v>
      </c>
      <c r="B379" s="1">
        <f>DATE(sales__2[[#This Row],[year]],sales__2[[#This Row],[month]],1)</f>
        <v>45474</v>
      </c>
    </row>
    <row r="380" spans="1:2" x14ac:dyDescent="0.2">
      <c r="A380">
        <v>30</v>
      </c>
      <c r="B380" s="1">
        <f>DATE(sales__2[[#This Row],[year]],sales__2[[#This Row],[month]],1)</f>
        <v>45474</v>
      </c>
    </row>
    <row r="381" spans="1:2" x14ac:dyDescent="0.2">
      <c r="A381">
        <v>28</v>
      </c>
      <c r="B381" s="1">
        <f>DATE(sales__2[[#This Row],[year]],sales__2[[#This Row],[month]],1)</f>
        <v>45474</v>
      </c>
    </row>
    <row r="382" spans="1:2" x14ac:dyDescent="0.2">
      <c r="A382">
        <v>25</v>
      </c>
      <c r="B382" s="1">
        <f>DATE(sales__2[[#This Row],[year]],sales__2[[#This Row],[month]],1)</f>
        <v>45474</v>
      </c>
    </row>
    <row r="383" spans="1:2" x14ac:dyDescent="0.2">
      <c r="A383">
        <v>19</v>
      </c>
      <c r="B383" s="1">
        <f>DATE(sales__2[[#This Row],[year]],sales__2[[#This Row],[month]],1)</f>
        <v>45474</v>
      </c>
    </row>
    <row r="384" spans="1:2" x14ac:dyDescent="0.2">
      <c r="A384">
        <v>10</v>
      </c>
      <c r="B384" s="1">
        <f>DATE(sales__2[[#This Row],[year]],sales__2[[#This Row],[month]],1)</f>
        <v>45474</v>
      </c>
    </row>
    <row r="385" spans="1:2" x14ac:dyDescent="0.2">
      <c r="A385">
        <v>22</v>
      </c>
      <c r="B385" s="1">
        <f>DATE(sales__2[[#This Row],[year]],sales__2[[#This Row],[month]],1)</f>
        <v>45474</v>
      </c>
    </row>
    <row r="386" spans="1:2" x14ac:dyDescent="0.2">
      <c r="A386">
        <v>26</v>
      </c>
      <c r="B386" s="1">
        <f>DATE(sales__2[[#This Row],[year]],sales__2[[#This Row],[month]],1)</f>
        <v>45474</v>
      </c>
    </row>
    <row r="387" spans="1:2" x14ac:dyDescent="0.2">
      <c r="A387">
        <v>14</v>
      </c>
      <c r="B387" s="1">
        <f>DATE(sales__2[[#This Row],[year]],sales__2[[#This Row],[month]],1)</f>
        <v>45474</v>
      </c>
    </row>
    <row r="388" spans="1:2" x14ac:dyDescent="0.2">
      <c r="A388">
        <v>18</v>
      </c>
      <c r="B388" s="1">
        <f>DATE(sales__2[[#This Row],[year]],sales__2[[#This Row],[month]],1)</f>
        <v>45505</v>
      </c>
    </row>
    <row r="389" spans="1:2" x14ac:dyDescent="0.2">
      <c r="A389">
        <v>14</v>
      </c>
      <c r="B389" s="1">
        <f>DATE(sales__2[[#This Row],[year]],sales__2[[#This Row],[month]],1)</f>
        <v>45505</v>
      </c>
    </row>
    <row r="390" spans="1:2" x14ac:dyDescent="0.2">
      <c r="A390">
        <v>13</v>
      </c>
      <c r="B390" s="1">
        <f>DATE(sales__2[[#This Row],[year]],sales__2[[#This Row],[month]],1)</f>
        <v>45505</v>
      </c>
    </row>
    <row r="391" spans="1:2" x14ac:dyDescent="0.2">
      <c r="A391">
        <v>23</v>
      </c>
      <c r="B391" s="1">
        <f>DATE(sales__2[[#This Row],[year]],sales__2[[#This Row],[month]],1)</f>
        <v>45505</v>
      </c>
    </row>
    <row r="392" spans="1:2" x14ac:dyDescent="0.2">
      <c r="A392">
        <v>25</v>
      </c>
      <c r="B392" s="1">
        <f>DATE(sales__2[[#This Row],[year]],sales__2[[#This Row],[month]],1)</f>
        <v>45505</v>
      </c>
    </row>
    <row r="393" spans="1:2" x14ac:dyDescent="0.2">
      <c r="A393">
        <v>27</v>
      </c>
      <c r="B393" s="1">
        <f>DATE(sales__2[[#This Row],[year]],sales__2[[#This Row],[month]],1)</f>
        <v>45505</v>
      </c>
    </row>
    <row r="394" spans="1:2" x14ac:dyDescent="0.2">
      <c r="A394">
        <v>25</v>
      </c>
      <c r="B394" s="1">
        <f>DATE(sales__2[[#This Row],[year]],sales__2[[#This Row],[month]],1)</f>
        <v>45505</v>
      </c>
    </row>
    <row r="395" spans="1:2" x14ac:dyDescent="0.2">
      <c r="A395">
        <v>17</v>
      </c>
      <c r="B395" s="1">
        <f>DATE(sales__2[[#This Row],[year]],sales__2[[#This Row],[month]],1)</f>
        <v>45505</v>
      </c>
    </row>
    <row r="396" spans="1:2" x14ac:dyDescent="0.2">
      <c r="A396">
        <v>9</v>
      </c>
      <c r="B396" s="1">
        <f>DATE(sales__2[[#This Row],[year]],sales__2[[#This Row],[month]],1)</f>
        <v>45505</v>
      </c>
    </row>
    <row r="397" spans="1:2" x14ac:dyDescent="0.2">
      <c r="A397">
        <v>24</v>
      </c>
      <c r="B397" s="1">
        <f>DATE(sales__2[[#This Row],[year]],sales__2[[#This Row],[month]],1)</f>
        <v>45505</v>
      </c>
    </row>
    <row r="398" spans="1:2" x14ac:dyDescent="0.2">
      <c r="A398">
        <v>24</v>
      </c>
      <c r="B398" s="1">
        <f>DATE(sales__2[[#This Row],[year]],sales__2[[#This Row],[month]],1)</f>
        <v>45505</v>
      </c>
    </row>
    <row r="399" spans="1:2" x14ac:dyDescent="0.2">
      <c r="A399">
        <v>14</v>
      </c>
      <c r="B399" s="1">
        <f>DATE(sales__2[[#This Row],[year]],sales__2[[#This Row],[month]],1)</f>
        <v>45505</v>
      </c>
    </row>
    <row r="400" spans="1:2" x14ac:dyDescent="0.2">
      <c r="A400">
        <v>15</v>
      </c>
      <c r="B400" s="1">
        <f>DATE(sales__2[[#This Row],[year]],sales__2[[#This Row],[month]],1)</f>
        <v>45536</v>
      </c>
    </row>
    <row r="401" spans="1:2" x14ac:dyDescent="0.2">
      <c r="A401">
        <v>12</v>
      </c>
      <c r="B401" s="1">
        <f>DATE(sales__2[[#This Row],[year]],sales__2[[#This Row],[month]],1)</f>
        <v>45536</v>
      </c>
    </row>
    <row r="402" spans="1:2" x14ac:dyDescent="0.2">
      <c r="A402">
        <v>11</v>
      </c>
      <c r="B402" s="1">
        <f>DATE(sales__2[[#This Row],[year]],sales__2[[#This Row],[month]],1)</f>
        <v>45536</v>
      </c>
    </row>
    <row r="403" spans="1:2" x14ac:dyDescent="0.2">
      <c r="A403">
        <v>20</v>
      </c>
      <c r="B403" s="1">
        <f>DATE(sales__2[[#This Row],[year]],sales__2[[#This Row],[month]],1)</f>
        <v>45536</v>
      </c>
    </row>
    <row r="404" spans="1:2" x14ac:dyDescent="0.2">
      <c r="A404">
        <v>22</v>
      </c>
      <c r="B404" s="1">
        <f>DATE(sales__2[[#This Row],[year]],sales__2[[#This Row],[month]],1)</f>
        <v>45536</v>
      </c>
    </row>
    <row r="405" spans="1:2" x14ac:dyDescent="0.2">
      <c r="A405">
        <v>26</v>
      </c>
      <c r="B405" s="1">
        <f>DATE(sales__2[[#This Row],[year]],sales__2[[#This Row],[month]],1)</f>
        <v>45536</v>
      </c>
    </row>
    <row r="406" spans="1:2" x14ac:dyDescent="0.2">
      <c r="A406">
        <v>22</v>
      </c>
      <c r="B406" s="1">
        <f>DATE(sales__2[[#This Row],[year]],sales__2[[#This Row],[month]],1)</f>
        <v>45536</v>
      </c>
    </row>
    <row r="407" spans="1:2" x14ac:dyDescent="0.2">
      <c r="A407">
        <v>14</v>
      </c>
      <c r="B407" s="1">
        <f>DATE(sales__2[[#This Row],[year]],sales__2[[#This Row],[month]],1)</f>
        <v>45536</v>
      </c>
    </row>
    <row r="408" spans="1:2" x14ac:dyDescent="0.2">
      <c r="A408">
        <v>9</v>
      </c>
      <c r="B408" s="1">
        <f>DATE(sales__2[[#This Row],[year]],sales__2[[#This Row],[month]],1)</f>
        <v>45536</v>
      </c>
    </row>
    <row r="409" spans="1:2" x14ac:dyDescent="0.2">
      <c r="A409">
        <v>17</v>
      </c>
      <c r="B409" s="1">
        <f>DATE(sales__2[[#This Row],[year]],sales__2[[#This Row],[month]],1)</f>
        <v>45536</v>
      </c>
    </row>
    <row r="410" spans="1:2" x14ac:dyDescent="0.2">
      <c r="A410">
        <v>21</v>
      </c>
      <c r="B410" s="1">
        <f>DATE(sales__2[[#This Row],[year]],sales__2[[#This Row],[month]],1)</f>
        <v>45536</v>
      </c>
    </row>
    <row r="411" spans="1:2" x14ac:dyDescent="0.2">
      <c r="A411">
        <v>11</v>
      </c>
      <c r="B411" s="1">
        <f>DATE(sales__2[[#This Row],[year]],sales__2[[#This Row],[month]],1)</f>
        <v>45536</v>
      </c>
    </row>
    <row r="412" spans="1:2" x14ac:dyDescent="0.2">
      <c r="A412">
        <v>13</v>
      </c>
      <c r="B412" s="1">
        <f>DATE(sales__2[[#This Row],[year]],sales__2[[#This Row],[month]],1)</f>
        <v>45566</v>
      </c>
    </row>
    <row r="413" spans="1:2" x14ac:dyDescent="0.2">
      <c r="A413">
        <v>10</v>
      </c>
      <c r="B413" s="1">
        <f>DATE(sales__2[[#This Row],[year]],sales__2[[#This Row],[month]],1)</f>
        <v>45566</v>
      </c>
    </row>
    <row r="414" spans="1:2" x14ac:dyDescent="0.2">
      <c r="A414">
        <v>10</v>
      </c>
      <c r="B414" s="1">
        <f>DATE(sales__2[[#This Row],[year]],sales__2[[#This Row],[month]],1)</f>
        <v>45566</v>
      </c>
    </row>
    <row r="415" spans="1:2" x14ac:dyDescent="0.2">
      <c r="A415">
        <v>18</v>
      </c>
      <c r="B415" s="1">
        <f>DATE(sales__2[[#This Row],[year]],sales__2[[#This Row],[month]],1)</f>
        <v>45566</v>
      </c>
    </row>
    <row r="416" spans="1:2" x14ac:dyDescent="0.2">
      <c r="A416">
        <v>5</v>
      </c>
      <c r="B416" s="1">
        <f>DATE(sales__2[[#This Row],[year]],sales__2[[#This Row],[month]],1)</f>
        <v>45566</v>
      </c>
    </row>
    <row r="417" spans="1:2" x14ac:dyDescent="0.2">
      <c r="A417">
        <v>22</v>
      </c>
      <c r="B417" s="1">
        <f>DATE(sales__2[[#This Row],[year]],sales__2[[#This Row],[month]],1)</f>
        <v>45566</v>
      </c>
    </row>
    <row r="418" spans="1:2" x14ac:dyDescent="0.2">
      <c r="A418">
        <v>20</v>
      </c>
      <c r="B418" s="1">
        <f>DATE(sales__2[[#This Row],[year]],sales__2[[#This Row],[month]],1)</f>
        <v>45566</v>
      </c>
    </row>
    <row r="419" spans="1:2" x14ac:dyDescent="0.2">
      <c r="A419">
        <v>12</v>
      </c>
      <c r="B419" s="1">
        <f>DATE(sales__2[[#This Row],[year]],sales__2[[#This Row],[month]],1)</f>
        <v>45566</v>
      </c>
    </row>
    <row r="420" spans="1:2" x14ac:dyDescent="0.2">
      <c r="A420">
        <v>7</v>
      </c>
      <c r="B420" s="1">
        <f>DATE(sales__2[[#This Row],[year]],sales__2[[#This Row],[month]],1)</f>
        <v>45566</v>
      </c>
    </row>
    <row r="421" spans="1:2" x14ac:dyDescent="0.2">
      <c r="A421">
        <v>18</v>
      </c>
      <c r="B421" s="1">
        <f>DATE(sales__2[[#This Row],[year]],sales__2[[#This Row],[month]],1)</f>
        <v>45566</v>
      </c>
    </row>
    <row r="422" spans="1:2" x14ac:dyDescent="0.2">
      <c r="A422">
        <v>4</v>
      </c>
      <c r="B422" s="1">
        <f>DATE(sales__2[[#This Row],[year]],sales__2[[#This Row],[month]],1)</f>
        <v>45566</v>
      </c>
    </row>
    <row r="423" spans="1:2" x14ac:dyDescent="0.2">
      <c r="A423">
        <v>19</v>
      </c>
      <c r="B423" s="1">
        <f>DATE(sales__2[[#This Row],[year]],sales__2[[#This Row],[month]],1)</f>
        <v>45566</v>
      </c>
    </row>
    <row r="424" spans="1:2" x14ac:dyDescent="0.2">
      <c r="A424">
        <v>10</v>
      </c>
      <c r="B424" s="1">
        <f>DATE(sales__2[[#This Row],[year]],sales__2[[#This Row],[month]],1)</f>
        <v>45566</v>
      </c>
    </row>
    <row r="425" spans="1:2" x14ac:dyDescent="0.2">
      <c r="A425">
        <v>12</v>
      </c>
      <c r="B425" s="1">
        <f>DATE(sales__2[[#This Row],[year]],sales__2[[#This Row],[month]],1)</f>
        <v>45597</v>
      </c>
    </row>
    <row r="426" spans="1:2" x14ac:dyDescent="0.2">
      <c r="A426">
        <v>9</v>
      </c>
      <c r="B426" s="1">
        <f>DATE(sales__2[[#This Row],[year]],sales__2[[#This Row],[month]],1)</f>
        <v>45597</v>
      </c>
    </row>
    <row r="427" spans="1:2" x14ac:dyDescent="0.2">
      <c r="A427">
        <v>9</v>
      </c>
      <c r="B427" s="1">
        <f>DATE(sales__2[[#This Row],[year]],sales__2[[#This Row],[month]],1)</f>
        <v>45597</v>
      </c>
    </row>
    <row r="428" spans="1:2" x14ac:dyDescent="0.2">
      <c r="A428">
        <v>16</v>
      </c>
      <c r="B428" s="1">
        <f>DATE(sales__2[[#This Row],[year]],sales__2[[#This Row],[month]],1)</f>
        <v>45597</v>
      </c>
    </row>
    <row r="429" spans="1:2" x14ac:dyDescent="0.2">
      <c r="A429">
        <v>23</v>
      </c>
      <c r="B429" s="1">
        <f>DATE(sales__2[[#This Row],[year]],sales__2[[#This Row],[month]],1)</f>
        <v>45597</v>
      </c>
    </row>
    <row r="430" spans="1:2" x14ac:dyDescent="0.2">
      <c r="A430">
        <v>22</v>
      </c>
      <c r="B430" s="1">
        <f>DATE(sales__2[[#This Row],[year]],sales__2[[#This Row],[month]],1)</f>
        <v>45597</v>
      </c>
    </row>
    <row r="431" spans="1:2" x14ac:dyDescent="0.2">
      <c r="A431">
        <v>18</v>
      </c>
      <c r="B431" s="1">
        <f>DATE(sales__2[[#This Row],[year]],sales__2[[#This Row],[month]],1)</f>
        <v>45597</v>
      </c>
    </row>
    <row r="432" spans="1:2" x14ac:dyDescent="0.2">
      <c r="A432">
        <v>12</v>
      </c>
      <c r="B432" s="1">
        <f>DATE(sales__2[[#This Row],[year]],sales__2[[#This Row],[month]],1)</f>
        <v>45597</v>
      </c>
    </row>
    <row r="433" spans="1:2" x14ac:dyDescent="0.2">
      <c r="A433">
        <v>15</v>
      </c>
      <c r="B433" s="1">
        <f>DATE(sales__2[[#This Row],[year]],sales__2[[#This Row],[month]],1)</f>
        <v>45597</v>
      </c>
    </row>
    <row r="434" spans="1:2" x14ac:dyDescent="0.2">
      <c r="A434">
        <v>18</v>
      </c>
      <c r="B434" s="1">
        <f>DATE(sales__2[[#This Row],[year]],sales__2[[#This Row],[month]],1)</f>
        <v>45597</v>
      </c>
    </row>
    <row r="435" spans="1:2" x14ac:dyDescent="0.2">
      <c r="A435">
        <v>8</v>
      </c>
      <c r="B435" s="1">
        <f>DATE(sales__2[[#This Row],[year]],sales__2[[#This Row],[month]],1)</f>
        <v>45597</v>
      </c>
    </row>
    <row r="436" spans="1:2" x14ac:dyDescent="0.2">
      <c r="A436">
        <v>14</v>
      </c>
      <c r="B436" s="1">
        <f>DATE(sales__2[[#This Row],[year]],sales__2[[#This Row],[month]],1)</f>
        <v>45627</v>
      </c>
    </row>
    <row r="437" spans="1:2" x14ac:dyDescent="0.2">
      <c r="A437">
        <v>11</v>
      </c>
      <c r="B437" s="1">
        <f>DATE(sales__2[[#This Row],[year]],sales__2[[#This Row],[month]],1)</f>
        <v>45627</v>
      </c>
    </row>
    <row r="438" spans="1:2" x14ac:dyDescent="0.2">
      <c r="A438">
        <v>12</v>
      </c>
      <c r="B438" s="1">
        <f>DATE(sales__2[[#This Row],[year]],sales__2[[#This Row],[month]],1)</f>
        <v>45627</v>
      </c>
    </row>
    <row r="439" spans="1:2" x14ac:dyDescent="0.2">
      <c r="A439">
        <v>19</v>
      </c>
      <c r="B439" s="1">
        <f>DATE(sales__2[[#This Row],[year]],sales__2[[#This Row],[month]],1)</f>
        <v>45627</v>
      </c>
    </row>
    <row r="440" spans="1:2" x14ac:dyDescent="0.2">
      <c r="A440">
        <v>6</v>
      </c>
      <c r="B440" s="1">
        <f>DATE(sales__2[[#This Row],[year]],sales__2[[#This Row],[month]],1)</f>
        <v>45627</v>
      </c>
    </row>
    <row r="441" spans="1:2" x14ac:dyDescent="0.2">
      <c r="A441">
        <v>24</v>
      </c>
      <c r="B441" s="1">
        <f>DATE(sales__2[[#This Row],[year]],sales__2[[#This Row],[month]],1)</f>
        <v>45627</v>
      </c>
    </row>
    <row r="442" spans="1:2" x14ac:dyDescent="0.2">
      <c r="A442">
        <v>22</v>
      </c>
      <c r="B442" s="1">
        <f>DATE(sales__2[[#This Row],[year]],sales__2[[#This Row],[month]],1)</f>
        <v>45627</v>
      </c>
    </row>
    <row r="443" spans="1:2" x14ac:dyDescent="0.2">
      <c r="A443">
        <v>15</v>
      </c>
      <c r="B443" s="1">
        <f>DATE(sales__2[[#This Row],[year]],sales__2[[#This Row],[month]],1)</f>
        <v>45627</v>
      </c>
    </row>
    <row r="444" spans="1:2" x14ac:dyDescent="0.2">
      <c r="A444">
        <v>10</v>
      </c>
      <c r="B444" s="1">
        <f>DATE(sales__2[[#This Row],[year]],sales__2[[#This Row],[month]],1)</f>
        <v>45627</v>
      </c>
    </row>
    <row r="445" spans="1:2" x14ac:dyDescent="0.2">
      <c r="A445">
        <v>21</v>
      </c>
      <c r="B445" s="1">
        <f>DATE(sales__2[[#This Row],[year]],sales__2[[#This Row],[month]],1)</f>
        <v>45627</v>
      </c>
    </row>
    <row r="446" spans="1:2" x14ac:dyDescent="0.2">
      <c r="A446">
        <v>5</v>
      </c>
      <c r="B446" s="1">
        <f>DATE(sales__2[[#This Row],[year]],sales__2[[#This Row],[month]],1)</f>
        <v>45627</v>
      </c>
    </row>
    <row r="447" spans="1:2" x14ac:dyDescent="0.2">
      <c r="A447">
        <v>20</v>
      </c>
      <c r="B447" s="1">
        <f>DATE(sales__2[[#This Row],[year]],sales__2[[#This Row],[month]],1)</f>
        <v>45627</v>
      </c>
    </row>
    <row r="448" spans="1:2" x14ac:dyDescent="0.2">
      <c r="A448">
        <v>12</v>
      </c>
      <c r="B448" s="1">
        <f>DATE(sales__2[[#This Row],[year]],sales__2[[#This Row],[month]],1)</f>
        <v>45627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AC69C-D771-F041-9B6A-E5B8AB44DEA5}">
  <dimension ref="A3:G17"/>
  <sheetViews>
    <sheetView zoomScale="91" workbookViewId="0">
      <selection activeCell="G36" sqref="G36"/>
    </sheetView>
  </sheetViews>
  <sheetFormatPr baseColWidth="10" defaultColWidth="10.6640625" defaultRowHeight="15" x14ac:dyDescent="0.2"/>
  <cols>
    <col min="1" max="1" width="19.5" bestFit="1" customWidth="1"/>
    <col min="2" max="2" width="19.33203125" bestFit="1" customWidth="1"/>
    <col min="3" max="5" width="12.1640625" bestFit="1" customWidth="1"/>
  </cols>
  <sheetData>
    <row r="3" spans="1:7" x14ac:dyDescent="0.2">
      <c r="A3" s="2" t="s">
        <v>49</v>
      </c>
      <c r="B3" s="2" t="s">
        <v>48</v>
      </c>
    </row>
    <row r="4" spans="1:7" ht="32" x14ac:dyDescent="0.2">
      <c r="A4" s="2" t="s">
        <v>30</v>
      </c>
      <c r="B4">
        <v>2022</v>
      </c>
      <c r="C4">
        <v>2023</v>
      </c>
      <c r="D4">
        <v>2024</v>
      </c>
      <c r="E4" t="s">
        <v>31</v>
      </c>
      <c r="F4" s="10" t="s">
        <v>51</v>
      </c>
      <c r="G4" s="8" t="s">
        <v>50</v>
      </c>
    </row>
    <row r="5" spans="1:7" x14ac:dyDescent="0.2">
      <c r="A5" s="3">
        <v>1</v>
      </c>
      <c r="B5">
        <v>12.666666666666666</v>
      </c>
      <c r="C5">
        <v>15.666666666666666</v>
      </c>
      <c r="D5">
        <v>16.333333333333332</v>
      </c>
      <c r="E5">
        <v>14.888888888888889</v>
      </c>
      <c r="F5">
        <f>AVERAGE(B5:D5)</f>
        <v>14.888888888888888</v>
      </c>
      <c r="G5">
        <f>F5/F$17</f>
        <v>0.79717419594720207</v>
      </c>
    </row>
    <row r="6" spans="1:7" x14ac:dyDescent="0.2">
      <c r="A6" s="3">
        <v>2</v>
      </c>
      <c r="B6">
        <v>11</v>
      </c>
      <c r="C6">
        <v>10.5</v>
      </c>
      <c r="D6">
        <v>11.5</v>
      </c>
      <c r="E6">
        <v>11</v>
      </c>
      <c r="F6">
        <f t="shared" ref="F6:F17" si="0">AVERAGE(B6:D6)</f>
        <v>11</v>
      </c>
      <c r="G6">
        <f t="shared" ref="G6:G16" si="1">F6/F$17</f>
        <v>0.58895705521472397</v>
      </c>
    </row>
    <row r="7" spans="1:7" x14ac:dyDescent="0.2">
      <c r="A7" s="3">
        <v>3</v>
      </c>
      <c r="B7">
        <v>16</v>
      </c>
      <c r="C7">
        <v>17.333333333333332</v>
      </c>
      <c r="D7">
        <v>17.666666666666668</v>
      </c>
      <c r="E7">
        <v>17</v>
      </c>
      <c r="F7">
        <f t="shared" si="0"/>
        <v>17</v>
      </c>
      <c r="G7">
        <f t="shared" si="1"/>
        <v>0.91020635805911887</v>
      </c>
    </row>
    <row r="8" spans="1:7" x14ac:dyDescent="0.2">
      <c r="A8" s="3">
        <v>4</v>
      </c>
      <c r="B8">
        <v>15.5</v>
      </c>
      <c r="C8">
        <v>17</v>
      </c>
      <c r="D8">
        <v>16.5</v>
      </c>
      <c r="E8">
        <v>16.333333333333332</v>
      </c>
      <c r="F8">
        <f t="shared" si="0"/>
        <v>16.333333333333332</v>
      </c>
      <c r="G8">
        <f t="shared" si="1"/>
        <v>0.8745119910764082</v>
      </c>
    </row>
    <row r="9" spans="1:7" x14ac:dyDescent="0.2">
      <c r="A9" s="3">
        <v>5</v>
      </c>
      <c r="B9">
        <v>15.666666666666666</v>
      </c>
      <c r="C9">
        <v>17.666666666666668</v>
      </c>
      <c r="D9">
        <v>16.666666666666668</v>
      </c>
      <c r="E9">
        <v>16.666666666666668</v>
      </c>
      <c r="F9">
        <f t="shared" si="0"/>
        <v>16.666666666666668</v>
      </c>
      <c r="G9">
        <f t="shared" si="1"/>
        <v>0.89235917456776359</v>
      </c>
    </row>
    <row r="10" spans="1:7" x14ac:dyDescent="0.2">
      <c r="A10" s="3">
        <v>6</v>
      </c>
      <c r="B10">
        <v>22</v>
      </c>
      <c r="C10">
        <v>22</v>
      </c>
      <c r="D10">
        <v>22.333333333333332</v>
      </c>
      <c r="E10">
        <v>22.111111111111111</v>
      </c>
      <c r="F10">
        <f t="shared" si="0"/>
        <v>22.111111111111111</v>
      </c>
      <c r="G10">
        <f t="shared" si="1"/>
        <v>1.1838631715932331</v>
      </c>
    </row>
    <row r="11" spans="1:7" x14ac:dyDescent="0.2">
      <c r="A11" s="3">
        <v>7</v>
      </c>
      <c r="B11">
        <v>24.333333333333332</v>
      </c>
      <c r="C11">
        <v>26</v>
      </c>
      <c r="D11">
        <v>25.333333333333332</v>
      </c>
      <c r="E11">
        <v>25.222222222222221</v>
      </c>
      <c r="F11">
        <f t="shared" si="0"/>
        <v>25.222222222222218</v>
      </c>
      <c r="G11">
        <f t="shared" si="1"/>
        <v>1.3504368841792154</v>
      </c>
    </row>
    <row r="12" spans="1:7" x14ac:dyDescent="0.2">
      <c r="A12" s="3">
        <v>8</v>
      </c>
      <c r="B12">
        <v>23</v>
      </c>
      <c r="C12">
        <v>24</v>
      </c>
      <c r="D12">
        <v>24</v>
      </c>
      <c r="E12">
        <v>23.666666666666668</v>
      </c>
      <c r="F12">
        <f t="shared" si="0"/>
        <v>23.666666666666668</v>
      </c>
      <c r="G12">
        <f t="shared" si="1"/>
        <v>1.2671500278862244</v>
      </c>
    </row>
    <row r="13" spans="1:7" x14ac:dyDescent="0.2">
      <c r="A13" s="3">
        <v>9</v>
      </c>
      <c r="B13">
        <v>20</v>
      </c>
      <c r="C13">
        <v>19.666666666666668</v>
      </c>
      <c r="D13">
        <v>19.666666666666668</v>
      </c>
      <c r="E13">
        <v>19.777777777777779</v>
      </c>
      <c r="F13">
        <f t="shared" si="0"/>
        <v>19.777777777777782</v>
      </c>
      <c r="G13">
        <f t="shared" si="1"/>
        <v>1.0589328871537464</v>
      </c>
    </row>
    <row r="14" spans="1:7" x14ac:dyDescent="0.2">
      <c r="A14" s="3">
        <v>10</v>
      </c>
      <c r="B14">
        <v>16.5</v>
      </c>
      <c r="C14">
        <v>17</v>
      </c>
      <c r="D14">
        <v>18</v>
      </c>
      <c r="E14">
        <v>17.166666666666668</v>
      </c>
      <c r="F14">
        <f t="shared" si="0"/>
        <v>17.166666666666668</v>
      </c>
      <c r="G14">
        <f t="shared" si="1"/>
        <v>0.91912994980479656</v>
      </c>
    </row>
    <row r="15" spans="1:7" x14ac:dyDescent="0.2">
      <c r="A15" s="3">
        <v>11</v>
      </c>
      <c r="B15">
        <v>16.666666666666668</v>
      </c>
      <c r="C15">
        <v>18.666666666666668</v>
      </c>
      <c r="D15">
        <v>18</v>
      </c>
      <c r="E15">
        <v>17.777777777777779</v>
      </c>
      <c r="F15">
        <f t="shared" si="0"/>
        <v>17.777777777777779</v>
      </c>
      <c r="G15">
        <f t="shared" si="1"/>
        <v>0.95184978620561456</v>
      </c>
    </row>
    <row r="16" spans="1:7" x14ac:dyDescent="0.2">
      <c r="A16" s="3">
        <v>12</v>
      </c>
      <c r="B16">
        <v>18</v>
      </c>
      <c r="C16">
        <v>18</v>
      </c>
      <c r="D16">
        <v>20</v>
      </c>
      <c r="E16">
        <v>18.666666666666668</v>
      </c>
      <c r="F16">
        <f t="shared" si="0"/>
        <v>18.666666666666668</v>
      </c>
      <c r="G16">
        <f t="shared" si="1"/>
        <v>0.99944227551589526</v>
      </c>
    </row>
    <row r="17" spans="1:7" x14ac:dyDescent="0.2">
      <c r="A17" s="3" t="s">
        <v>31</v>
      </c>
      <c r="B17">
        <v>17.90625</v>
      </c>
      <c r="C17">
        <v>19</v>
      </c>
      <c r="D17">
        <v>19.125</v>
      </c>
      <c r="E17">
        <v>18.677083333333332</v>
      </c>
      <c r="F17">
        <f t="shared" si="0"/>
        <v>18.677083333333332</v>
      </c>
      <c r="G17" s="7">
        <f>SUM(G5:G16)</f>
        <v>11.79401375720394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4868-CE5C-DF4C-97BA-10DD6C24C174}">
  <dimension ref="A1:P50"/>
  <sheetViews>
    <sheetView tabSelected="1" zoomScale="66" workbookViewId="0">
      <selection sqref="A1:A1048576"/>
    </sheetView>
  </sheetViews>
  <sheetFormatPr baseColWidth="10" defaultColWidth="10.6640625" defaultRowHeight="15" x14ac:dyDescent="0.2"/>
  <cols>
    <col min="1" max="1" width="16.1640625" bestFit="1" customWidth="1"/>
    <col min="2" max="2" width="17.6640625" bestFit="1" customWidth="1"/>
    <col min="4" max="4" width="17.6640625" bestFit="1" customWidth="1"/>
    <col min="5" max="5" width="9.6640625" bestFit="1" customWidth="1"/>
    <col min="6" max="6" width="14" bestFit="1" customWidth="1"/>
    <col min="7" max="7" width="13.6640625" bestFit="1" customWidth="1"/>
    <col min="9" max="9" width="17" bestFit="1" customWidth="1"/>
    <col min="16" max="16" width="18" bestFit="1" customWidth="1"/>
  </cols>
  <sheetData>
    <row r="1" spans="1:16" ht="16" x14ac:dyDescent="0.2">
      <c r="A1" t="s">
        <v>64</v>
      </c>
      <c r="B1" t="s">
        <v>65</v>
      </c>
      <c r="C1" s="11" t="s">
        <v>53</v>
      </c>
      <c r="D1" s="11" t="s">
        <v>54</v>
      </c>
      <c r="E1" s="11" t="s">
        <v>55</v>
      </c>
      <c r="F1" s="11" t="s">
        <v>56</v>
      </c>
      <c r="G1" s="11" t="s">
        <v>57</v>
      </c>
      <c r="H1" s="11" t="s">
        <v>58</v>
      </c>
      <c r="I1" s="11" t="s">
        <v>59</v>
      </c>
      <c r="L1" t="s">
        <v>52</v>
      </c>
      <c r="M1">
        <v>0.80265023236782795</v>
      </c>
      <c r="O1" s="2" t="s">
        <v>30</v>
      </c>
      <c r="P1" t="s">
        <v>47</v>
      </c>
    </row>
    <row r="2" spans="1:16" x14ac:dyDescent="0.2">
      <c r="A2" s="12">
        <v>44562</v>
      </c>
      <c r="B2">
        <v>1</v>
      </c>
      <c r="C2">
        <f>факт!B5</f>
        <v>38</v>
      </c>
      <c r="D2">
        <f>C2</f>
        <v>38</v>
      </c>
      <c r="E2">
        <v>0</v>
      </c>
      <c r="F2">
        <f t="shared" ref="F2:F13" si="0">C2/P$2</f>
        <v>6.6317626527050616E-2</v>
      </c>
      <c r="G2">
        <f>D2</f>
        <v>38</v>
      </c>
      <c r="H2">
        <f>G2-C2</f>
        <v>0</v>
      </c>
      <c r="I2">
        <f>ABS(H2)/C2</f>
        <v>0</v>
      </c>
      <c r="L2" t="s">
        <v>60</v>
      </c>
      <c r="M2">
        <v>0.1</v>
      </c>
      <c r="O2" s="3" t="s">
        <v>32</v>
      </c>
      <c r="P2">
        <v>573</v>
      </c>
    </row>
    <row r="3" spans="1:16" x14ac:dyDescent="0.2">
      <c r="A3" s="12">
        <v>44593</v>
      </c>
      <c r="B3">
        <v>2</v>
      </c>
      <c r="C3">
        <f>факт!B6</f>
        <v>22</v>
      </c>
      <c r="D3">
        <f t="shared" ref="D3:D13" si="1">C3</f>
        <v>22</v>
      </c>
      <c r="E3">
        <f>$M$2*(D3-D2)+(1-$M$2)*E2</f>
        <v>-1.6</v>
      </c>
      <c r="F3">
        <f t="shared" si="0"/>
        <v>3.8394415357766144E-2</v>
      </c>
      <c r="G3">
        <f t="shared" ref="G3:G13" si="2">D3</f>
        <v>22</v>
      </c>
      <c r="H3">
        <f t="shared" ref="H3:H37" si="3">G3-C3</f>
        <v>0</v>
      </c>
      <c r="I3">
        <f t="shared" ref="I3:I37" si="4">ABS(H3)/C3</f>
        <v>0</v>
      </c>
      <c r="L3" t="s">
        <v>61</v>
      </c>
      <c r="M3">
        <v>1</v>
      </c>
      <c r="O3" s="3" t="s">
        <v>33</v>
      </c>
      <c r="P3">
        <v>608</v>
      </c>
    </row>
    <row r="4" spans="1:16" x14ac:dyDescent="0.2">
      <c r="A4" s="12">
        <v>44621</v>
      </c>
      <c r="B4">
        <v>3</v>
      </c>
      <c r="C4">
        <f>факт!B7</f>
        <v>48</v>
      </c>
      <c r="D4">
        <f t="shared" si="1"/>
        <v>48</v>
      </c>
      <c r="E4">
        <f t="shared" ref="E4:E36" si="5">$M$2*(D4-D3)+(1-$M$2)*E3</f>
        <v>1.1599999999999999</v>
      </c>
      <c r="F4">
        <f t="shared" si="0"/>
        <v>8.3769633507853408E-2</v>
      </c>
      <c r="G4">
        <f t="shared" si="2"/>
        <v>48</v>
      </c>
      <c r="H4">
        <f t="shared" si="3"/>
        <v>0</v>
      </c>
      <c r="I4">
        <f t="shared" si="4"/>
        <v>0</v>
      </c>
      <c r="L4" t="s">
        <v>62</v>
      </c>
      <c r="M4">
        <v>12</v>
      </c>
      <c r="O4" s="3" t="s">
        <v>34</v>
      </c>
      <c r="P4">
        <v>612</v>
      </c>
    </row>
    <row r="5" spans="1:16" x14ac:dyDescent="0.2">
      <c r="A5" s="12">
        <v>44652</v>
      </c>
      <c r="B5">
        <v>4</v>
      </c>
      <c r="C5">
        <f>факт!B8</f>
        <v>31</v>
      </c>
      <c r="D5">
        <f t="shared" si="1"/>
        <v>31</v>
      </c>
      <c r="E5">
        <f t="shared" si="5"/>
        <v>-0.65600000000000014</v>
      </c>
      <c r="F5">
        <f t="shared" si="0"/>
        <v>5.4101221640488653E-2</v>
      </c>
      <c r="G5">
        <f t="shared" si="2"/>
        <v>31</v>
      </c>
      <c r="H5">
        <f t="shared" si="3"/>
        <v>0</v>
      </c>
      <c r="I5">
        <f t="shared" si="4"/>
        <v>0</v>
      </c>
      <c r="O5" s="3" t="s">
        <v>31</v>
      </c>
      <c r="P5">
        <v>1793</v>
      </c>
    </row>
    <row r="6" spans="1:16" x14ac:dyDescent="0.2">
      <c r="A6" s="12">
        <v>44682</v>
      </c>
      <c r="B6">
        <v>5</v>
      </c>
      <c r="C6">
        <f>факт!B9</f>
        <v>47</v>
      </c>
      <c r="D6">
        <f t="shared" si="1"/>
        <v>47</v>
      </c>
      <c r="E6">
        <f t="shared" si="5"/>
        <v>1.0095999999999998</v>
      </c>
      <c r="F6">
        <f t="shared" si="0"/>
        <v>8.2024432809773118E-2</v>
      </c>
      <c r="G6">
        <f t="shared" si="2"/>
        <v>47</v>
      </c>
      <c r="H6">
        <f t="shared" si="3"/>
        <v>0</v>
      </c>
      <c r="I6">
        <f t="shared" si="4"/>
        <v>0</v>
      </c>
      <c r="L6" t="s">
        <v>63</v>
      </c>
      <c r="M6">
        <f>SUM(I14:I49)/36*100</f>
        <v>6.2687259769830392</v>
      </c>
    </row>
    <row r="7" spans="1:16" x14ac:dyDescent="0.2">
      <c r="A7" s="12">
        <v>44713</v>
      </c>
      <c r="B7">
        <v>6</v>
      </c>
      <c r="C7">
        <f>факт!B10</f>
        <v>66</v>
      </c>
      <c r="D7">
        <f t="shared" si="1"/>
        <v>66</v>
      </c>
      <c r="E7">
        <f t="shared" si="5"/>
        <v>2.80864</v>
      </c>
      <c r="F7">
        <f t="shared" si="0"/>
        <v>0.11518324607329843</v>
      </c>
      <c r="G7">
        <f t="shared" si="2"/>
        <v>66</v>
      </c>
      <c r="H7">
        <f t="shared" si="3"/>
        <v>0</v>
      </c>
      <c r="I7">
        <f t="shared" si="4"/>
        <v>0</v>
      </c>
    </row>
    <row r="8" spans="1:16" x14ac:dyDescent="0.2">
      <c r="A8" s="12">
        <v>44743</v>
      </c>
      <c r="B8">
        <v>7</v>
      </c>
      <c r="C8">
        <f>факт!B11</f>
        <v>73</v>
      </c>
      <c r="D8">
        <f t="shared" si="1"/>
        <v>73</v>
      </c>
      <c r="E8">
        <f t="shared" si="5"/>
        <v>3.2277760000000004</v>
      </c>
      <c r="F8">
        <f t="shared" si="0"/>
        <v>0.12739965095986039</v>
      </c>
      <c r="G8">
        <f t="shared" si="2"/>
        <v>73</v>
      </c>
      <c r="H8">
        <f t="shared" si="3"/>
        <v>0</v>
      </c>
      <c r="I8">
        <f t="shared" si="4"/>
        <v>0</v>
      </c>
    </row>
    <row r="9" spans="1:16" x14ac:dyDescent="0.2">
      <c r="A9" s="12">
        <v>44774</v>
      </c>
      <c r="B9">
        <v>8</v>
      </c>
      <c r="C9">
        <f>факт!B12</f>
        <v>69</v>
      </c>
      <c r="D9">
        <f t="shared" si="1"/>
        <v>69</v>
      </c>
      <c r="E9">
        <f t="shared" si="5"/>
        <v>2.5049984000000007</v>
      </c>
      <c r="F9">
        <f t="shared" si="0"/>
        <v>0.12041884816753927</v>
      </c>
      <c r="G9">
        <f t="shared" si="2"/>
        <v>69</v>
      </c>
      <c r="H9">
        <f t="shared" si="3"/>
        <v>0</v>
      </c>
      <c r="I9">
        <f t="shared" si="4"/>
        <v>0</v>
      </c>
    </row>
    <row r="10" spans="1:16" x14ac:dyDescent="0.2">
      <c r="A10" s="12">
        <v>44805</v>
      </c>
      <c r="B10">
        <v>9</v>
      </c>
      <c r="C10">
        <f>факт!B13</f>
        <v>60</v>
      </c>
      <c r="D10">
        <f t="shared" si="1"/>
        <v>60</v>
      </c>
      <c r="E10">
        <f t="shared" si="5"/>
        <v>1.354498560000001</v>
      </c>
      <c r="F10">
        <f t="shared" si="0"/>
        <v>0.10471204188481675</v>
      </c>
      <c r="G10">
        <f t="shared" si="2"/>
        <v>60</v>
      </c>
      <c r="H10">
        <f t="shared" si="3"/>
        <v>0</v>
      </c>
      <c r="I10">
        <f t="shared" si="4"/>
        <v>0</v>
      </c>
    </row>
    <row r="11" spans="1:16" x14ac:dyDescent="0.2">
      <c r="A11" s="12">
        <v>44835</v>
      </c>
      <c r="B11">
        <v>10</v>
      </c>
      <c r="C11">
        <f>факт!B14</f>
        <v>33</v>
      </c>
      <c r="D11">
        <f t="shared" si="1"/>
        <v>33</v>
      </c>
      <c r="E11">
        <f t="shared" si="5"/>
        <v>-1.4809512959999993</v>
      </c>
      <c r="F11">
        <f t="shared" si="0"/>
        <v>5.7591623036649213E-2</v>
      </c>
      <c r="G11">
        <f t="shared" si="2"/>
        <v>33</v>
      </c>
      <c r="H11">
        <f t="shared" si="3"/>
        <v>0</v>
      </c>
      <c r="I11">
        <f t="shared" si="4"/>
        <v>0</v>
      </c>
    </row>
    <row r="12" spans="1:16" x14ac:dyDescent="0.2">
      <c r="A12" s="12">
        <v>44866</v>
      </c>
      <c r="B12">
        <v>11</v>
      </c>
      <c r="C12">
        <f>факт!B15</f>
        <v>50</v>
      </c>
      <c r="D12">
        <f t="shared" si="1"/>
        <v>50</v>
      </c>
      <c r="E12">
        <f t="shared" si="5"/>
        <v>0.3671438336000008</v>
      </c>
      <c r="F12">
        <f t="shared" si="0"/>
        <v>8.7260034904013961E-2</v>
      </c>
      <c r="G12">
        <f t="shared" si="2"/>
        <v>50</v>
      </c>
      <c r="H12">
        <f t="shared" si="3"/>
        <v>0</v>
      </c>
      <c r="I12">
        <f t="shared" si="4"/>
        <v>0</v>
      </c>
    </row>
    <row r="13" spans="1:16" x14ac:dyDescent="0.2">
      <c r="A13" s="13">
        <v>44896</v>
      </c>
      <c r="B13" s="14">
        <v>12</v>
      </c>
      <c r="C13" s="14">
        <f>факт!B16</f>
        <v>36</v>
      </c>
      <c r="D13" s="14">
        <f t="shared" si="1"/>
        <v>36</v>
      </c>
      <c r="E13" s="14">
        <f t="shared" si="5"/>
        <v>-1.0695705497599994</v>
      </c>
      <c r="F13" s="14">
        <f t="shared" si="0"/>
        <v>6.2827225130890049E-2</v>
      </c>
      <c r="G13" s="14">
        <f t="shared" si="2"/>
        <v>36</v>
      </c>
      <c r="H13" s="14">
        <f t="shared" si="3"/>
        <v>0</v>
      </c>
      <c r="I13" s="14">
        <f t="shared" si="4"/>
        <v>0</v>
      </c>
    </row>
    <row r="14" spans="1:16" x14ac:dyDescent="0.2">
      <c r="A14" s="12">
        <v>44927</v>
      </c>
      <c r="B14">
        <v>13</v>
      </c>
      <c r="C14">
        <f>факт!B18</f>
        <v>47</v>
      </c>
      <c r="D14">
        <f>$M$1*C14/F2+(1-$M$1)*(D13+E13)</f>
        <v>575.740180764191</v>
      </c>
      <c r="E14">
        <f>$M$2*(D14-D13)+(1-$M$2)*E13</f>
        <v>53.011404581635098</v>
      </c>
      <c r="F14">
        <f>$M$3*(C14/D14)+(1-$M$3)*F2</f>
        <v>8.1634045304282907E-2</v>
      </c>
      <c r="G14" s="7">
        <f>(D13+E13)*F2</f>
        <v>2.316503174710506</v>
      </c>
      <c r="H14">
        <f t="shared" si="3"/>
        <v>-44.683496825289495</v>
      </c>
      <c r="I14">
        <f t="shared" si="4"/>
        <v>0.95071269841041484</v>
      </c>
    </row>
    <row r="15" spans="1:16" x14ac:dyDescent="0.2">
      <c r="A15" s="12">
        <v>44958</v>
      </c>
      <c r="B15">
        <v>14</v>
      </c>
      <c r="C15">
        <f>факт!B19</f>
        <v>21</v>
      </c>
      <c r="D15">
        <f t="shared" ref="D15:D36" si="6">$M$1*C15/F3+(1-$M$1)*(D14+E14)</f>
        <v>563.09717227008923</v>
      </c>
      <c r="E15">
        <f t="shared" si="5"/>
        <v>46.445963274061413</v>
      </c>
      <c r="F15">
        <f t="shared" ref="F15:F37" si="7">$M$3*(C15/D15)+(1-$M$3)*F3</f>
        <v>3.7293740821570602E-2</v>
      </c>
      <c r="G15" s="7">
        <f t="shared" ref="G15:G37" si="8">(D14+E14)*F3</f>
        <v>24.140549524621598</v>
      </c>
      <c r="H15">
        <f t="shared" si="3"/>
        <v>3.1405495246215978</v>
      </c>
      <c r="I15">
        <f t="shared" si="4"/>
        <v>0.14954997736293324</v>
      </c>
    </row>
    <row r="16" spans="1:16" x14ac:dyDescent="0.2">
      <c r="A16" s="12">
        <v>44986</v>
      </c>
      <c r="B16">
        <v>15</v>
      </c>
      <c r="C16">
        <f>факт!B20</f>
        <v>52</v>
      </c>
      <c r="D16">
        <f t="shared" si="6"/>
        <v>618.53832790375293</v>
      </c>
      <c r="E16">
        <f t="shared" si="5"/>
        <v>47.34548251002164</v>
      </c>
      <c r="F16">
        <f t="shared" si="7"/>
        <v>8.4069163791724494E-2</v>
      </c>
      <c r="G16" s="7">
        <f t="shared" si="8"/>
        <v>51.061205071761314</v>
      </c>
      <c r="H16">
        <f t="shared" si="3"/>
        <v>-0.9387949282386856</v>
      </c>
      <c r="I16">
        <f t="shared" si="4"/>
        <v>1.8053748619974722E-2</v>
      </c>
    </row>
    <row r="17" spans="1:9" x14ac:dyDescent="0.2">
      <c r="A17" s="12">
        <v>45017</v>
      </c>
      <c r="B17">
        <v>16</v>
      </c>
      <c r="C17">
        <f>факт!B21</f>
        <v>34</v>
      </c>
      <c r="D17">
        <f t="shared" si="6"/>
        <v>635.83884838389417</v>
      </c>
      <c r="E17">
        <f t="shared" si="5"/>
        <v>44.340986307033603</v>
      </c>
      <c r="F17">
        <f t="shared" si="7"/>
        <v>5.3472668564397238E-2</v>
      </c>
      <c r="G17" s="7">
        <f t="shared" si="8"/>
        <v>36.025127614008746</v>
      </c>
      <c r="H17">
        <f t="shared" si="3"/>
        <v>2.0251276140087455</v>
      </c>
      <c r="I17">
        <f t="shared" si="4"/>
        <v>5.9562576882610165E-2</v>
      </c>
    </row>
    <row r="18" spans="1:9" x14ac:dyDescent="0.2">
      <c r="A18" s="12">
        <v>45047</v>
      </c>
      <c r="B18">
        <v>17</v>
      </c>
      <c r="C18">
        <f>факт!B22</f>
        <v>53</v>
      </c>
      <c r="D18">
        <f t="shared" si="6"/>
        <v>652.8649260855899</v>
      </c>
      <c r="E18">
        <f t="shared" si="5"/>
        <v>41.609495446499814</v>
      </c>
      <c r="F18">
        <f t="shared" si="7"/>
        <v>8.1180651437004536E-2</v>
      </c>
      <c r="G18" s="7">
        <f t="shared" si="8"/>
        <v>55.791365149168591</v>
      </c>
      <c r="H18">
        <f t="shared" si="3"/>
        <v>2.7913651491685911</v>
      </c>
      <c r="I18">
        <f t="shared" si="4"/>
        <v>5.2667266965445117E-2</v>
      </c>
    </row>
    <row r="19" spans="1:9" x14ac:dyDescent="0.2">
      <c r="A19" s="12">
        <v>45078</v>
      </c>
      <c r="B19">
        <v>18</v>
      </c>
      <c r="C19">
        <f>факт!B23</f>
        <v>66</v>
      </c>
      <c r="D19">
        <f t="shared" si="6"/>
        <v>596.97294886261045</v>
      </c>
      <c r="E19">
        <f t="shared" si="5"/>
        <v>31.859348179551887</v>
      </c>
      <c r="F19">
        <f t="shared" si="7"/>
        <v>0.11055777338947645</v>
      </c>
      <c r="G19" s="7">
        <f t="shared" si="8"/>
        <v>79.991818186942268</v>
      </c>
      <c r="H19">
        <f t="shared" si="3"/>
        <v>13.991818186942268</v>
      </c>
      <c r="I19">
        <f t="shared" si="4"/>
        <v>0.21199724525670102</v>
      </c>
    </row>
    <row r="20" spans="1:9" x14ac:dyDescent="0.2">
      <c r="A20" s="12">
        <v>45108</v>
      </c>
      <c r="B20">
        <v>19</v>
      </c>
      <c r="C20">
        <f>факт!B24</f>
        <v>78</v>
      </c>
      <c r="D20">
        <f t="shared" si="6"/>
        <v>615.51976366591271</v>
      </c>
      <c r="E20">
        <f t="shared" si="5"/>
        <v>30.528094841926922</v>
      </c>
      <c r="F20">
        <f t="shared" si="7"/>
        <v>0.12672216978939488</v>
      </c>
      <c r="G20" s="7">
        <f t="shared" si="8"/>
        <v>80.113015155458726</v>
      </c>
      <c r="H20">
        <f t="shared" si="3"/>
        <v>2.1130151554587258</v>
      </c>
      <c r="I20">
        <f t="shared" si="4"/>
        <v>2.7089937890496484E-2</v>
      </c>
    </row>
    <row r="21" spans="1:9" x14ac:dyDescent="0.2">
      <c r="A21" s="12">
        <v>45139</v>
      </c>
      <c r="B21">
        <v>20</v>
      </c>
      <c r="C21">
        <f>факт!B25</f>
        <v>72</v>
      </c>
      <c r="D21">
        <f t="shared" si="6"/>
        <v>607.41243803936572</v>
      </c>
      <c r="E21">
        <f t="shared" si="5"/>
        <v>26.66455279507953</v>
      </c>
      <c r="F21">
        <f t="shared" si="7"/>
        <v>0.11853560363762877</v>
      </c>
      <c r="G21" s="7">
        <f t="shared" si="8"/>
        <v>77.796338982619432</v>
      </c>
      <c r="H21">
        <f t="shared" si="3"/>
        <v>5.7963389826194316</v>
      </c>
      <c r="I21">
        <f t="shared" si="4"/>
        <v>8.050470809193655E-2</v>
      </c>
    </row>
    <row r="22" spans="1:9" x14ac:dyDescent="0.2">
      <c r="A22" s="12">
        <v>45170</v>
      </c>
      <c r="B22">
        <v>21</v>
      </c>
      <c r="C22">
        <f>факт!B26</f>
        <v>59</v>
      </c>
      <c r="D22">
        <f t="shared" si="6"/>
        <v>577.38822022973739</v>
      </c>
      <c r="E22">
        <f t="shared" si="5"/>
        <v>20.995675734608742</v>
      </c>
      <c r="F22">
        <f t="shared" si="7"/>
        <v>0.10218428075398638</v>
      </c>
      <c r="G22" s="7">
        <f t="shared" si="8"/>
        <v>66.395496422454997</v>
      </c>
      <c r="H22">
        <f t="shared" si="3"/>
        <v>7.3954964224549968</v>
      </c>
      <c r="I22">
        <f t="shared" si="4"/>
        <v>0.12534739699076267</v>
      </c>
    </row>
    <row r="23" spans="1:9" x14ac:dyDescent="0.2">
      <c r="A23" s="12">
        <v>45200</v>
      </c>
      <c r="B23">
        <v>22</v>
      </c>
      <c r="C23">
        <f>факт!B27</f>
        <v>34</v>
      </c>
      <c r="D23">
        <f t="shared" si="6"/>
        <v>591.94643273218617</v>
      </c>
      <c r="E23">
        <f t="shared" si="5"/>
        <v>20.351929411392746</v>
      </c>
      <c r="F23">
        <f t="shared" si="7"/>
        <v>5.7437629690696337E-2</v>
      </c>
      <c r="G23" s="7">
        <f t="shared" si="8"/>
        <v>34.461899767580142</v>
      </c>
      <c r="H23">
        <f t="shared" si="3"/>
        <v>0.4618997675801424</v>
      </c>
      <c r="I23">
        <f t="shared" si="4"/>
        <v>1.3585287281768894E-2</v>
      </c>
    </row>
    <row r="24" spans="1:9" x14ac:dyDescent="0.2">
      <c r="A24" s="12">
        <v>45231</v>
      </c>
      <c r="B24">
        <v>23</v>
      </c>
      <c r="C24">
        <f>факт!B28</f>
        <v>56</v>
      </c>
      <c r="D24">
        <f t="shared" si="6"/>
        <v>635.94575261497221</v>
      </c>
      <c r="E24">
        <f t="shared" si="5"/>
        <v>22.716668458532077</v>
      </c>
      <c r="F24">
        <f t="shared" si="7"/>
        <v>8.8057825325086672E-2</v>
      </c>
      <c r="G24" s="7">
        <f t="shared" si="8"/>
        <v>53.429176452319282</v>
      </c>
      <c r="H24">
        <f t="shared" si="3"/>
        <v>-2.5708235476807175</v>
      </c>
      <c r="I24">
        <f t="shared" si="4"/>
        <v>4.5907563351441381E-2</v>
      </c>
    </row>
    <row r="25" spans="1:9" x14ac:dyDescent="0.2">
      <c r="A25" s="13">
        <v>45261</v>
      </c>
      <c r="B25" s="14">
        <v>24</v>
      </c>
      <c r="C25" s="14">
        <f>факт!B29</f>
        <v>36</v>
      </c>
      <c r="D25" s="14">
        <f t="shared" si="6"/>
        <v>589.90545889366535</v>
      </c>
      <c r="E25" s="14">
        <f t="shared" si="5"/>
        <v>15.840972240548183</v>
      </c>
      <c r="F25" s="14">
        <f t="shared" si="7"/>
        <v>6.1026728024378661E-2</v>
      </c>
      <c r="G25" s="16">
        <f t="shared" si="8"/>
        <v>41.381932214042152</v>
      </c>
      <c r="H25" s="14">
        <f t="shared" si="3"/>
        <v>5.3819322140421519</v>
      </c>
      <c r="I25" s="14">
        <f t="shared" si="4"/>
        <v>0.14949811705672644</v>
      </c>
    </row>
    <row r="26" spans="1:9" x14ac:dyDescent="0.2">
      <c r="A26" s="12">
        <v>45292</v>
      </c>
      <c r="B26">
        <v>25</v>
      </c>
      <c r="C26">
        <f>факт!B31</f>
        <v>49</v>
      </c>
      <c r="D26">
        <f>$M$1*C26/F14+(1-$M$1)*(D25+E25)</f>
        <v>601.32650261600952</v>
      </c>
      <c r="E26">
        <f t="shared" si="5"/>
        <v>15.398979388727783</v>
      </c>
      <c r="F26">
        <f t="shared" si="7"/>
        <v>8.148651321175851E-2</v>
      </c>
      <c r="G26" s="7">
        <f t="shared" si="8"/>
        <v>49.449531602118071</v>
      </c>
      <c r="H26">
        <f t="shared" si="3"/>
        <v>0.44953160211807131</v>
      </c>
      <c r="I26">
        <f t="shared" si="4"/>
        <v>9.1741143289402315E-3</v>
      </c>
    </row>
    <row r="27" spans="1:9" x14ac:dyDescent="0.2">
      <c r="A27" s="12">
        <v>45323</v>
      </c>
      <c r="B27">
        <v>26</v>
      </c>
      <c r="C27">
        <f>факт!B32</f>
        <v>23</v>
      </c>
      <c r="D27">
        <f t="shared" si="6"/>
        <v>616.72547589360943</v>
      </c>
      <c r="E27">
        <f t="shared" si="5"/>
        <v>15.398978777614996</v>
      </c>
      <c r="F27">
        <f t="shared" si="7"/>
        <v>3.7293740730709984E-2</v>
      </c>
      <c r="G27" s="7">
        <f t="shared" si="8"/>
        <v>23.000000283942875</v>
      </c>
      <c r="H27">
        <f t="shared" si="3"/>
        <v>2.8394287454602818E-7</v>
      </c>
      <c r="I27">
        <f t="shared" si="4"/>
        <v>1.2345342371566443E-8</v>
      </c>
    </row>
    <row r="28" spans="1:9" x14ac:dyDescent="0.2">
      <c r="A28" s="12">
        <v>45352</v>
      </c>
      <c r="B28">
        <v>27</v>
      </c>
      <c r="C28">
        <f>факт!B33</f>
        <v>53</v>
      </c>
      <c r="D28">
        <f t="shared" si="6"/>
        <v>630.76704556857226</v>
      </c>
      <c r="E28">
        <f t="shared" si="5"/>
        <v>15.26323786734978</v>
      </c>
      <c r="F28">
        <f t="shared" si="7"/>
        <v>8.4024681334177662E-2</v>
      </c>
      <c r="G28" s="7">
        <f t="shared" si="8"/>
        <v>53.142174316509688</v>
      </c>
      <c r="H28">
        <f t="shared" si="3"/>
        <v>0.14217431650968848</v>
      </c>
      <c r="I28">
        <f t="shared" si="4"/>
        <v>2.6825342737677072E-3</v>
      </c>
    </row>
    <row r="29" spans="1:9" x14ac:dyDescent="0.2">
      <c r="A29" s="12">
        <v>45383</v>
      </c>
      <c r="B29">
        <v>28</v>
      </c>
      <c r="C29">
        <f>факт!B34</f>
        <v>33</v>
      </c>
      <c r="D29">
        <f t="shared" si="6"/>
        <v>622.83964927019656</v>
      </c>
      <c r="E29">
        <f t="shared" si="5"/>
        <v>12.944174450777233</v>
      </c>
      <c r="F29">
        <f t="shared" si="7"/>
        <v>5.2983139462407826E-2</v>
      </c>
      <c r="G29" s="7">
        <f t="shared" si="8"/>
        <v>34.544963228732662</v>
      </c>
      <c r="H29">
        <f t="shared" si="3"/>
        <v>1.5449632287326622</v>
      </c>
      <c r="I29">
        <f t="shared" si="4"/>
        <v>4.6817067537353402E-2</v>
      </c>
    </row>
    <row r="30" spans="1:9" x14ac:dyDescent="0.2">
      <c r="A30" s="12">
        <v>45413</v>
      </c>
      <c r="B30">
        <v>29</v>
      </c>
      <c r="C30">
        <f>факт!B35</f>
        <v>50</v>
      </c>
      <c r="D30">
        <f t="shared" si="6"/>
        <v>619.8323414109143</v>
      </c>
      <c r="E30">
        <f t="shared" si="5"/>
        <v>11.349026219771282</v>
      </c>
      <c r="F30">
        <f t="shared" si="7"/>
        <v>8.0666975018092488E-2</v>
      </c>
      <c r="G30" s="7">
        <f t="shared" si="8"/>
        <v>51.613344982778315</v>
      </c>
      <c r="H30">
        <f t="shared" si="3"/>
        <v>1.6133449827783153</v>
      </c>
      <c r="I30">
        <f t="shared" si="4"/>
        <v>3.2266899655566304E-2</v>
      </c>
    </row>
    <row r="31" spans="1:9" x14ac:dyDescent="0.2">
      <c r="A31" s="12">
        <v>45444</v>
      </c>
      <c r="B31">
        <v>30</v>
      </c>
      <c r="C31">
        <f>факт!B36</f>
        <v>67</v>
      </c>
      <c r="D31">
        <f t="shared" si="6"/>
        <v>610.98397957152213</v>
      </c>
      <c r="E31">
        <f t="shared" si="5"/>
        <v>9.3292874138549369</v>
      </c>
      <c r="F31">
        <f t="shared" si="7"/>
        <v>0.1096591764107899</v>
      </c>
      <c r="G31" s="7">
        <f t="shared" si="8"/>
        <v>69.78200661017317</v>
      </c>
      <c r="H31">
        <f t="shared" si="3"/>
        <v>2.7820066101731697</v>
      </c>
      <c r="I31">
        <f t="shared" si="4"/>
        <v>4.1522486719002535E-2</v>
      </c>
    </row>
    <row r="32" spans="1:9" x14ac:dyDescent="0.2">
      <c r="A32" s="12">
        <v>45474</v>
      </c>
      <c r="B32">
        <v>31</v>
      </c>
      <c r="C32">
        <f>факт!B37</f>
        <v>76</v>
      </c>
      <c r="D32">
        <f t="shared" si="6"/>
        <v>603.79788655180857</v>
      </c>
      <c r="E32">
        <f t="shared" si="5"/>
        <v>7.6777493704980877</v>
      </c>
      <c r="F32">
        <f t="shared" si="7"/>
        <v>0.12586993378533276</v>
      </c>
      <c r="G32" s="7">
        <f t="shared" si="8"/>
        <v>78.607443141535185</v>
      </c>
      <c r="H32">
        <f t="shared" si="3"/>
        <v>2.6074431415351853</v>
      </c>
      <c r="I32">
        <f t="shared" si="4"/>
        <v>3.4308462388620863E-2</v>
      </c>
    </row>
    <row r="33" spans="1:9" x14ac:dyDescent="0.2">
      <c r="A33" s="12">
        <v>45505</v>
      </c>
      <c r="B33">
        <v>32</v>
      </c>
      <c r="C33">
        <f>факт!B38</f>
        <v>72</v>
      </c>
      <c r="D33">
        <f t="shared" si="6"/>
        <v>608.2143091974076</v>
      </c>
      <c r="E33">
        <f t="shared" si="5"/>
        <v>7.3516166980081818</v>
      </c>
      <c r="F33">
        <f t="shared" si="7"/>
        <v>0.11837932602245144</v>
      </c>
      <c r="G33" s="7">
        <f t="shared" si="8"/>
        <v>72.481633613753544</v>
      </c>
      <c r="H33">
        <f t="shared" si="3"/>
        <v>0.48163361375354441</v>
      </c>
      <c r="I33">
        <f t="shared" si="4"/>
        <v>6.6893557465770061E-3</v>
      </c>
    </row>
    <row r="34" spans="1:9" x14ac:dyDescent="0.2">
      <c r="A34" s="12">
        <v>45536</v>
      </c>
      <c r="B34">
        <v>33</v>
      </c>
      <c r="C34">
        <f>факт!B39</f>
        <v>59</v>
      </c>
      <c r="D34">
        <f t="shared" si="6"/>
        <v>584.92258157158858</v>
      </c>
      <c r="E34">
        <f t="shared" si="5"/>
        <v>4.2872822656254614</v>
      </c>
      <c r="F34">
        <f t="shared" si="7"/>
        <v>0.10086804965107848</v>
      </c>
      <c r="G34" s="7">
        <f t="shared" si="8"/>
        <v>62.901161394284742</v>
      </c>
      <c r="H34">
        <f t="shared" si="3"/>
        <v>3.9011613942847418</v>
      </c>
      <c r="I34">
        <f t="shared" si="4"/>
        <v>6.6121379564148167E-2</v>
      </c>
    </row>
    <row r="35" spans="1:9" x14ac:dyDescent="0.2">
      <c r="A35" s="12">
        <v>45566</v>
      </c>
      <c r="B35">
        <v>34</v>
      </c>
      <c r="C35">
        <f>факт!B40</f>
        <v>36</v>
      </c>
      <c r="D35">
        <f t="shared" si="6"/>
        <v>619.35495630734795</v>
      </c>
      <c r="E35">
        <f t="shared" si="5"/>
        <v>7.301791512638852</v>
      </c>
      <c r="F35">
        <f t="shared" si="7"/>
        <v>5.8124988963736336E-2</v>
      </c>
      <c r="G35" s="7">
        <f t="shared" si="8"/>
        <v>33.842817969187507</v>
      </c>
      <c r="H35">
        <f t="shared" si="3"/>
        <v>-2.1571820308124927</v>
      </c>
      <c r="I35">
        <f t="shared" si="4"/>
        <v>5.9921723078124794E-2</v>
      </c>
    </row>
    <row r="36" spans="1:9" x14ac:dyDescent="0.2">
      <c r="A36" s="12">
        <v>45597</v>
      </c>
      <c r="B36">
        <v>35</v>
      </c>
      <c r="C36">
        <f>факт!B41</f>
        <v>54</v>
      </c>
      <c r="D36">
        <f t="shared" si="6"/>
        <v>615.88249803037115</v>
      </c>
      <c r="E36">
        <f t="shared" si="5"/>
        <v>6.224366533677288</v>
      </c>
      <c r="F36">
        <f t="shared" si="7"/>
        <v>8.7679062439175018E-2</v>
      </c>
      <c r="G36" s="7">
        <f t="shared" si="8"/>
        <v>55.182030438319281</v>
      </c>
      <c r="H36">
        <f t="shared" si="3"/>
        <v>1.1820304383192806</v>
      </c>
      <c r="I36">
        <f t="shared" si="4"/>
        <v>2.1889452561468157E-2</v>
      </c>
    </row>
    <row r="37" spans="1:9" x14ac:dyDescent="0.2">
      <c r="A37" s="13">
        <v>45627</v>
      </c>
      <c r="B37" s="14">
        <v>36</v>
      </c>
      <c r="C37" s="14">
        <f>факт!B42</f>
        <v>40</v>
      </c>
      <c r="D37" s="14">
        <f>$M$1*C37/F25+(1-$M$1)*(D36+E36)</f>
        <v>648.87014922637263</v>
      </c>
      <c r="E37" s="14">
        <f>$M$2*(D37-D36)+(1-$M$2)*E36</f>
        <v>8.9006949999097067</v>
      </c>
      <c r="F37" s="14">
        <f t="shared" si="7"/>
        <v>6.1645615918209114E-2</v>
      </c>
      <c r="G37" s="16">
        <f t="shared" si="8"/>
        <v>37.965146425849156</v>
      </c>
      <c r="H37" s="14">
        <f t="shared" si="3"/>
        <v>-2.0348535741508442</v>
      </c>
      <c r="I37" s="14">
        <f t="shared" si="4"/>
        <v>5.0871339353771104E-2</v>
      </c>
    </row>
    <row r="38" spans="1:9" x14ac:dyDescent="0.2">
      <c r="A38" s="12">
        <v>45658</v>
      </c>
      <c r="D38">
        <f>$M$1*C37/F26+(1-$M$1)*(D37+E37)</f>
        <v>523.81488820504865</v>
      </c>
      <c r="E38">
        <f>$M$2*(D38-D37)+(1-$M$2)*E37</f>
        <v>-4.4949006022136633</v>
      </c>
      <c r="F38">
        <f>$M$3*(C26/D38)+(1-$M$3)*F26</f>
        <v>9.3544496545158964E-2</v>
      </c>
      <c r="G38" s="7">
        <f>(D37+E37)*F26</f>
        <v>53.599452588354502</v>
      </c>
    </row>
    <row r="39" spans="1:9" x14ac:dyDescent="0.2">
      <c r="A39" s="12">
        <v>45689</v>
      </c>
      <c r="D39">
        <f>$M$1*G27/F27+(1-$M$1)*(D38+E38)</f>
        <v>597.50253152445453</v>
      </c>
      <c r="E39">
        <f t="shared" ref="E39:E49" si="9">$M$2*(D39-D38)+(1-$M$2)*E38</f>
        <v>3.3233537899482917</v>
      </c>
      <c r="F39">
        <f t="shared" ref="F39:F49" si="10">$M$3*(C27/D39)+(1-$M$3)*F27</f>
        <v>3.849356075750561E-2</v>
      </c>
      <c r="G39" s="7">
        <f>(D38+E38)*F27</f>
        <v>19.367384973935653</v>
      </c>
    </row>
    <row r="40" spans="1:9" x14ac:dyDescent="0.2">
      <c r="A40" s="12">
        <v>45717</v>
      </c>
      <c r="D40">
        <f t="shared" ref="D40:D49" si="11">$M$1*G28/F28+(1-$M$1)*(D39+E39)</f>
        <v>626.21629226143295</v>
      </c>
      <c r="E40">
        <f t="shared" si="9"/>
        <v>5.8623944846513059</v>
      </c>
      <c r="F40">
        <f t="shared" si="10"/>
        <v>8.4635293994991659E-2</v>
      </c>
      <c r="G40" s="7">
        <f t="shared" ref="G38:G49" si="12">(D39+E39)*F28</f>
        <v>50.484203550867875</v>
      </c>
    </row>
    <row r="41" spans="1:9" x14ac:dyDescent="0.2">
      <c r="A41" s="12">
        <v>45748</v>
      </c>
      <c r="D41">
        <f t="shared" si="11"/>
        <v>648.06787142850385</v>
      </c>
      <c r="E41">
        <f t="shared" si="9"/>
        <v>7.4613129528932642</v>
      </c>
      <c r="F41">
        <f t="shared" si="10"/>
        <v>5.0920592510256275E-2</v>
      </c>
      <c r="G41" s="7">
        <f t="shared" si="12"/>
        <v>33.48951321108337</v>
      </c>
    </row>
    <row r="42" spans="1:9" x14ac:dyDescent="0.2">
      <c r="A42" s="12">
        <v>45778</v>
      </c>
      <c r="D42">
        <f t="shared" si="11"/>
        <v>642.93016427468172</v>
      </c>
      <c r="E42">
        <f t="shared" si="9"/>
        <v>6.2014109422217247</v>
      </c>
      <c r="F42">
        <f t="shared" si="10"/>
        <v>7.7768944091163056E-2</v>
      </c>
      <c r="G42" s="7">
        <f t="shared" si="12"/>
        <v>52.879556340124708</v>
      </c>
    </row>
    <row r="43" spans="1:9" x14ac:dyDescent="0.2">
      <c r="A43" s="12">
        <v>45809</v>
      </c>
      <c r="D43">
        <f t="shared" si="11"/>
        <v>638.87529331633232</v>
      </c>
      <c r="E43">
        <f t="shared" si="9"/>
        <v>5.1757827521646123</v>
      </c>
      <c r="F43">
        <f t="shared" si="10"/>
        <v>0.10487179689201984</v>
      </c>
      <c r="G43" s="7">
        <f t="shared" si="12"/>
        <v>71.183233920524344</v>
      </c>
    </row>
    <row r="44" spans="1:9" x14ac:dyDescent="0.2">
      <c r="A44" s="12">
        <v>45839</v>
      </c>
      <c r="D44">
        <f t="shared" si="11"/>
        <v>628.36904637710597</v>
      </c>
      <c r="E44">
        <f t="shared" si="9"/>
        <v>3.6075797830255163</v>
      </c>
      <c r="F44">
        <f t="shared" si="10"/>
        <v>0.12094803274951545</v>
      </c>
      <c r="G44" s="7">
        <f t="shared" si="12"/>
        <v>81.066666299114033</v>
      </c>
    </row>
    <row r="45" spans="1:9" x14ac:dyDescent="0.2">
      <c r="A45" s="12">
        <v>45870</v>
      </c>
      <c r="D45">
        <f t="shared" si="11"/>
        <v>616.16942907030375</v>
      </c>
      <c r="E45">
        <f t="shared" si="9"/>
        <v>2.0268600740427423</v>
      </c>
      <c r="F45">
        <f t="shared" si="10"/>
        <v>0.11685097734990832</v>
      </c>
      <c r="G45" s="7">
        <f t="shared" si="12"/>
        <v>74.812967066779109</v>
      </c>
    </row>
    <row r="46" spans="1:9" x14ac:dyDescent="0.2">
      <c r="A46" s="12">
        <v>45901</v>
      </c>
      <c r="D46">
        <f t="shared" si="11"/>
        <v>622.53235054503853</v>
      </c>
      <c r="E46">
        <f t="shared" si="9"/>
        <v>2.4604662141119458</v>
      </c>
      <c r="F46">
        <f t="shared" si="10"/>
        <v>9.4774191169895688E-2</v>
      </c>
      <c r="G46" s="7">
        <f t="shared" si="12"/>
        <v>62.356253987524411</v>
      </c>
    </row>
    <row r="47" spans="1:9" x14ac:dyDescent="0.2">
      <c r="A47" s="12">
        <v>45931</v>
      </c>
      <c r="D47">
        <f t="shared" si="11"/>
        <v>590.67897622762484</v>
      </c>
      <c r="E47">
        <f t="shared" si="9"/>
        <v>-0.97091783904061746</v>
      </c>
      <c r="F47">
        <f t="shared" si="10"/>
        <v>6.0946811125586753E-2</v>
      </c>
      <c r="G47" s="7">
        <f t="shared" si="12"/>
        <v>36.32770057654011</v>
      </c>
    </row>
    <row r="48" spans="1:9" x14ac:dyDescent="0.2">
      <c r="A48" s="12">
        <v>45962</v>
      </c>
      <c r="D48">
        <f t="shared" si="11"/>
        <v>621.53777168746797</v>
      </c>
      <c r="E48">
        <f t="shared" si="9"/>
        <v>2.2120534908477563</v>
      </c>
      <c r="F48">
        <f t="shared" si="10"/>
        <v>8.6881284549112134E-2</v>
      </c>
      <c r="G48" s="7">
        <f t="shared" si="12"/>
        <v>51.705049672337346</v>
      </c>
    </row>
    <row r="49" spans="1:7" x14ac:dyDescent="0.2">
      <c r="A49" s="12">
        <v>45992</v>
      </c>
      <c r="D49">
        <f t="shared" si="11"/>
        <v>617.41806302824909</v>
      </c>
      <c r="E49">
        <f t="shared" si="9"/>
        <v>1.5788772758410934</v>
      </c>
      <c r="F49">
        <f t="shared" si="10"/>
        <v>6.4785924473625023E-2</v>
      </c>
      <c r="G49" s="7">
        <f t="shared" si="12"/>
        <v>38.451442151992531</v>
      </c>
    </row>
    <row r="50" spans="1:7" x14ac:dyDescent="0.2">
      <c r="A50" s="12"/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7B2D-9F1A-4A4D-B763-C4C4E92F92BC}">
  <dimension ref="A1:D15"/>
  <sheetViews>
    <sheetView zoomScale="166" workbookViewId="0">
      <selection activeCell="H19" sqref="H19"/>
    </sheetView>
  </sheetViews>
  <sheetFormatPr baseColWidth="10" defaultColWidth="10.6640625" defaultRowHeight="15" x14ac:dyDescent="0.2"/>
  <cols>
    <col min="3" max="3" width="12.1640625" bestFit="1" customWidth="1"/>
    <col min="4" max="4" width="12.5" bestFit="1" customWidth="1"/>
  </cols>
  <sheetData>
    <row r="1" spans="1:4" ht="33" customHeight="1" x14ac:dyDescent="0.2">
      <c r="A1" s="15" t="s">
        <v>66</v>
      </c>
      <c r="B1" s="9" t="s">
        <v>67</v>
      </c>
      <c r="C1" s="15" t="s">
        <v>68</v>
      </c>
      <c r="D1" s="10" t="s">
        <v>69</v>
      </c>
    </row>
    <row r="2" spans="1:4" x14ac:dyDescent="0.2">
      <c r="A2">
        <f>'Ручной прогноз'!C26</f>
        <v>49</v>
      </c>
      <c r="B2">
        <f>'Ручной прогноз'!G26</f>
        <v>49.449531602118071</v>
      </c>
      <c r="C2">
        <f>ABS(A2-B2)</f>
        <v>0.44953160211807131</v>
      </c>
      <c r="D2">
        <f>C2/A2</f>
        <v>9.1741143289402315E-3</v>
      </c>
    </row>
    <row r="3" spans="1:4" x14ac:dyDescent="0.2">
      <c r="A3">
        <f>'Ручной прогноз'!C27</f>
        <v>23</v>
      </c>
      <c r="B3">
        <f>'Ручной прогноз'!G27</f>
        <v>23.000000283942875</v>
      </c>
      <c r="C3">
        <f t="shared" ref="C3:C13" si="0">ABS(A3-B3)</f>
        <v>2.8394287454602818E-7</v>
      </c>
      <c r="D3">
        <f t="shared" ref="D3:D13" si="1">C3/A3</f>
        <v>1.2345342371566443E-8</v>
      </c>
    </row>
    <row r="4" spans="1:4" x14ac:dyDescent="0.2">
      <c r="A4">
        <f>'Ручной прогноз'!C28</f>
        <v>53</v>
      </c>
      <c r="B4">
        <f>'Ручной прогноз'!G28</f>
        <v>53.142174316509688</v>
      </c>
      <c r="C4">
        <f t="shared" si="0"/>
        <v>0.14217431650968848</v>
      </c>
      <c r="D4">
        <f t="shared" si="1"/>
        <v>2.6825342737677072E-3</v>
      </c>
    </row>
    <row r="5" spans="1:4" x14ac:dyDescent="0.2">
      <c r="A5">
        <f>'Ручной прогноз'!C29</f>
        <v>33</v>
      </c>
      <c r="B5">
        <f>'Ручной прогноз'!G29</f>
        <v>34.544963228732662</v>
      </c>
      <c r="C5">
        <f t="shared" si="0"/>
        <v>1.5449632287326622</v>
      </c>
      <c r="D5">
        <f t="shared" si="1"/>
        <v>4.6817067537353402E-2</v>
      </c>
    </row>
    <row r="6" spans="1:4" x14ac:dyDescent="0.2">
      <c r="A6">
        <f>'Ручной прогноз'!C30</f>
        <v>50</v>
      </c>
      <c r="B6">
        <f>'Ручной прогноз'!G30</f>
        <v>51.613344982778315</v>
      </c>
      <c r="C6">
        <f t="shared" si="0"/>
        <v>1.6133449827783153</v>
      </c>
      <c r="D6">
        <f t="shared" si="1"/>
        <v>3.2266899655566304E-2</v>
      </c>
    </row>
    <row r="7" spans="1:4" x14ac:dyDescent="0.2">
      <c r="A7">
        <f>'Ручной прогноз'!C31</f>
        <v>67</v>
      </c>
      <c r="B7">
        <f>'Ручной прогноз'!G31</f>
        <v>69.78200661017317</v>
      </c>
      <c r="C7">
        <f t="shared" si="0"/>
        <v>2.7820066101731697</v>
      </c>
      <c r="D7">
        <f t="shared" si="1"/>
        <v>4.1522486719002535E-2</v>
      </c>
    </row>
    <row r="8" spans="1:4" x14ac:dyDescent="0.2">
      <c r="A8">
        <f>'Ручной прогноз'!C32</f>
        <v>76</v>
      </c>
      <c r="B8">
        <f>'Ручной прогноз'!G32</f>
        <v>78.607443141535185</v>
      </c>
      <c r="C8">
        <f t="shared" si="0"/>
        <v>2.6074431415351853</v>
      </c>
      <c r="D8">
        <f t="shared" si="1"/>
        <v>3.4308462388620863E-2</v>
      </c>
    </row>
    <row r="9" spans="1:4" x14ac:dyDescent="0.2">
      <c r="A9">
        <f>'Ручной прогноз'!C33</f>
        <v>72</v>
      </c>
      <c r="B9">
        <f>'Ручной прогноз'!G33</f>
        <v>72.481633613753544</v>
      </c>
      <c r="C9">
        <f t="shared" si="0"/>
        <v>0.48163361375354441</v>
      </c>
      <c r="D9">
        <f t="shared" si="1"/>
        <v>6.6893557465770061E-3</v>
      </c>
    </row>
    <row r="10" spans="1:4" x14ac:dyDescent="0.2">
      <c r="A10">
        <f>'Ручной прогноз'!C34</f>
        <v>59</v>
      </c>
      <c r="B10">
        <f>'Ручной прогноз'!G34</f>
        <v>62.901161394284742</v>
      </c>
      <c r="C10">
        <f t="shared" si="0"/>
        <v>3.9011613942847418</v>
      </c>
      <c r="D10">
        <f t="shared" si="1"/>
        <v>6.6121379564148167E-2</v>
      </c>
    </row>
    <row r="11" spans="1:4" x14ac:dyDescent="0.2">
      <c r="A11">
        <f>'Ручной прогноз'!C35</f>
        <v>36</v>
      </c>
      <c r="B11">
        <f>'Ручной прогноз'!G35</f>
        <v>33.842817969187507</v>
      </c>
      <c r="C11">
        <f t="shared" si="0"/>
        <v>2.1571820308124927</v>
      </c>
      <c r="D11">
        <f t="shared" si="1"/>
        <v>5.9921723078124794E-2</v>
      </c>
    </row>
    <row r="12" spans="1:4" x14ac:dyDescent="0.2">
      <c r="A12">
        <f>'Ручной прогноз'!C36</f>
        <v>54</v>
      </c>
      <c r="B12">
        <f>'Ручной прогноз'!G36</f>
        <v>55.182030438319281</v>
      </c>
      <c r="C12">
        <f t="shared" si="0"/>
        <v>1.1820304383192806</v>
      </c>
      <c r="D12">
        <f t="shared" si="1"/>
        <v>2.1889452561468157E-2</v>
      </c>
    </row>
    <row r="13" spans="1:4" x14ac:dyDescent="0.2">
      <c r="A13">
        <f>'Ручной прогноз'!C37</f>
        <v>40</v>
      </c>
      <c r="B13">
        <f>'Ручной прогноз'!G37</f>
        <v>37.965146425849156</v>
      </c>
      <c r="C13">
        <f t="shared" si="0"/>
        <v>2.0348535741508442</v>
      </c>
      <c r="D13">
        <f t="shared" si="1"/>
        <v>5.0871339353771104E-2</v>
      </c>
    </row>
    <row r="14" spans="1:4" x14ac:dyDescent="0.2">
      <c r="C14" t="s">
        <v>63</v>
      </c>
      <c r="D14" t="s">
        <v>70</v>
      </c>
    </row>
    <row r="15" spans="1:4" x14ac:dyDescent="0.2">
      <c r="C15">
        <f>SUMSQ(C2:C13)/12</f>
        <v>3.7827247188432529</v>
      </c>
      <c r="D15">
        <f>SUM(D2:D13)/12*100</f>
        <v>3.1022068962723548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39AA67-5E4B-4D6C-B91C-9A4B8FF281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График 1</vt:lpstr>
      <vt:lpstr>Лист2</vt:lpstr>
      <vt:lpstr>Лист3</vt:lpstr>
      <vt:lpstr>Лист4</vt:lpstr>
      <vt:lpstr>факт</vt:lpstr>
      <vt:lpstr>Лист10</vt:lpstr>
      <vt:lpstr>Данные</vt:lpstr>
      <vt:lpstr>Лист5</vt:lpstr>
      <vt:lpstr>Лист1</vt:lpstr>
      <vt:lpstr>Сводная </vt:lpstr>
      <vt:lpstr>Ручной прогноз</vt:lpstr>
      <vt:lpstr>Ошибка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Shelen Koshy</dc:creator>
  <cp:lastModifiedBy>Microsoft Office User</cp:lastModifiedBy>
  <dcterms:created xsi:type="dcterms:W3CDTF">2025-05-05T22:46:19Z</dcterms:created>
  <dcterms:modified xsi:type="dcterms:W3CDTF">2026-05-12T17:33:50Z</dcterms:modified>
</cp:coreProperties>
</file>